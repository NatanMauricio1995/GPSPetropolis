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ário\Documents\OneDrive\GPS\"/>
    </mc:Choice>
  </mc:AlternateContent>
  <xr:revisionPtr revIDLastSave="0" documentId="13_ncr:1_{2DCB1F56-0845-40E4-AD5D-BAF369481BBC}" xr6:coauthVersionLast="47" xr6:coauthVersionMax="47" xr10:uidLastSave="{00000000-0000-0000-0000-000000000000}"/>
  <bookViews>
    <workbookView xWindow="-120" yWindow="-120" windowWidth="20640" windowHeight="11160" activeTab="4" xr2:uid="{CD231424-4746-4C8B-AE6B-505952D3A95B}"/>
  </bookViews>
  <sheets>
    <sheet name="Nós" sheetId="1" r:id="rId1"/>
    <sheet name="Vértices" sheetId="2" r:id="rId2"/>
    <sheet name="Dados" sheetId="3" r:id="rId3"/>
    <sheet name="Pesos" sheetId="4" r:id="rId4"/>
    <sheet name="Nodos" sheetId="5" r:id="rId5"/>
    <sheet name="Planilha2" sheetId="7" r:id="rId6"/>
  </sheets>
  <definedNames>
    <definedName name="TabelaNós">Tabela1[]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H2" i="5"/>
  <c r="J2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C850" i="5"/>
  <c r="D850" i="5"/>
  <c r="C851" i="5"/>
  <c r="D851" i="5"/>
  <c r="C852" i="5"/>
  <c r="D852" i="5"/>
  <c r="C853" i="5"/>
  <c r="D853" i="5"/>
  <c r="C854" i="5"/>
  <c r="D854" i="5"/>
  <c r="C848" i="5"/>
  <c r="D848" i="5"/>
  <c r="C819" i="5"/>
  <c r="D819" i="5"/>
  <c r="C820" i="5"/>
  <c r="D820" i="5"/>
  <c r="C821" i="5"/>
  <c r="D821" i="5"/>
  <c r="C822" i="5"/>
  <c r="D822" i="5"/>
  <c r="C823" i="5"/>
  <c r="D823" i="5"/>
  <c r="C809" i="5"/>
  <c r="D809" i="5"/>
  <c r="C810" i="5"/>
  <c r="D810" i="5"/>
  <c r="C811" i="5"/>
  <c r="D811" i="5"/>
  <c r="C812" i="5"/>
  <c r="D812" i="5"/>
  <c r="C800" i="5"/>
  <c r="D800" i="5"/>
  <c r="C791" i="5"/>
  <c r="D791" i="5"/>
  <c r="C792" i="5"/>
  <c r="D792" i="5"/>
  <c r="C793" i="5"/>
  <c r="D793" i="5"/>
  <c r="C794" i="5"/>
  <c r="D794" i="5"/>
  <c r="C795" i="5"/>
  <c r="D795" i="5"/>
  <c r="C781" i="5"/>
  <c r="D781" i="5"/>
  <c r="C782" i="5"/>
  <c r="D782" i="5"/>
  <c r="C783" i="5"/>
  <c r="D783" i="5"/>
  <c r="C784" i="5"/>
  <c r="D784" i="5"/>
  <c r="C785" i="5"/>
  <c r="D785" i="5"/>
  <c r="C786" i="5"/>
  <c r="D786" i="5"/>
  <c r="C787" i="5"/>
  <c r="D787" i="5"/>
  <c r="C788" i="5"/>
  <c r="D788" i="5"/>
  <c r="C768" i="5"/>
  <c r="D768" i="5"/>
  <c r="C769" i="5"/>
  <c r="D769" i="5"/>
  <c r="C770" i="5"/>
  <c r="D770" i="5"/>
  <c r="C771" i="5"/>
  <c r="D771" i="5"/>
  <c r="C772" i="5"/>
  <c r="D772" i="5"/>
  <c r="C773" i="5"/>
  <c r="D773" i="5"/>
  <c r="C774" i="5"/>
  <c r="D774" i="5"/>
  <c r="C775" i="5"/>
  <c r="D775" i="5"/>
  <c r="C776" i="5"/>
  <c r="D776" i="5"/>
  <c r="C777" i="5"/>
  <c r="D777" i="5"/>
  <c r="C778" i="5"/>
  <c r="D778" i="5"/>
  <c r="C753" i="5"/>
  <c r="D753" i="5"/>
  <c r="C754" i="5"/>
  <c r="D754" i="5"/>
  <c r="C749" i="5"/>
  <c r="D749" i="5"/>
  <c r="C750" i="5"/>
  <c r="D750" i="5"/>
  <c r="C745" i="5"/>
  <c r="D745" i="5"/>
  <c r="C746" i="5"/>
  <c r="D746" i="5"/>
  <c r="C747" i="5"/>
  <c r="D747" i="5"/>
  <c r="C737" i="5"/>
  <c r="D737" i="5"/>
  <c r="C738" i="5"/>
  <c r="D738" i="5"/>
  <c r="C718" i="5"/>
  <c r="D718" i="5"/>
  <c r="C678" i="5"/>
  <c r="D678" i="5"/>
  <c r="C679" i="5"/>
  <c r="D679" i="5"/>
  <c r="C667" i="5"/>
  <c r="D667" i="5"/>
  <c r="C668" i="5"/>
  <c r="D668" i="5"/>
  <c r="C669" i="5"/>
  <c r="D669" i="5"/>
  <c r="C670" i="5"/>
  <c r="D670" i="5"/>
  <c r="C671" i="5"/>
  <c r="D671" i="5"/>
  <c r="C672" i="5"/>
  <c r="D672" i="5"/>
  <c r="C673" i="5"/>
  <c r="D673" i="5"/>
  <c r="C674" i="5"/>
  <c r="D674" i="5"/>
  <c r="C698" i="5"/>
  <c r="D698" i="5"/>
  <c r="C699" i="5"/>
  <c r="D699" i="5"/>
  <c r="C700" i="5"/>
  <c r="D700" i="5"/>
  <c r="C701" i="5"/>
  <c r="D701" i="5"/>
  <c r="C702" i="5"/>
  <c r="D702" i="5"/>
  <c r="C703" i="5"/>
  <c r="D703" i="5"/>
  <c r="C704" i="5"/>
  <c r="D704" i="5"/>
  <c r="C705" i="5"/>
  <c r="D705" i="5"/>
  <c r="C706" i="5"/>
  <c r="D706" i="5"/>
  <c r="C707" i="5"/>
  <c r="D707" i="5"/>
  <c r="C708" i="5"/>
  <c r="D708" i="5"/>
  <c r="C709" i="5"/>
  <c r="D709" i="5"/>
  <c r="C691" i="5"/>
  <c r="D691" i="5"/>
  <c r="C692" i="5"/>
  <c r="D692" i="5"/>
  <c r="C693" i="5"/>
  <c r="D693" i="5"/>
  <c r="C694" i="5"/>
  <c r="D694" i="5"/>
  <c r="C695" i="5"/>
  <c r="D695" i="5"/>
  <c r="C696" i="5"/>
  <c r="D696" i="5"/>
  <c r="C697" i="5"/>
  <c r="D697" i="5"/>
  <c r="C689" i="5"/>
  <c r="D689" i="5"/>
  <c r="C663" i="5"/>
  <c r="D663" i="5"/>
  <c r="C664" i="5"/>
  <c r="D664" i="5"/>
  <c r="C665" i="5"/>
  <c r="D665" i="5"/>
  <c r="C647" i="5"/>
  <c r="D647" i="5"/>
  <c r="C648" i="5"/>
  <c r="D648" i="5"/>
  <c r="C649" i="5"/>
  <c r="D649" i="5"/>
  <c r="C650" i="5"/>
  <c r="D650" i="5"/>
  <c r="C651" i="5"/>
  <c r="D651" i="5"/>
  <c r="C652" i="5"/>
  <c r="D652" i="5"/>
  <c r="C653" i="5"/>
  <c r="D653" i="5"/>
  <c r="C654" i="5"/>
  <c r="D654" i="5"/>
  <c r="C655" i="5"/>
  <c r="D655" i="5"/>
  <c r="C656" i="5"/>
  <c r="D656" i="5"/>
  <c r="C657" i="5"/>
  <c r="D657" i="5"/>
  <c r="C658" i="5"/>
  <c r="D658" i="5"/>
  <c r="C659" i="5"/>
  <c r="D659" i="5"/>
  <c r="C660" i="5"/>
  <c r="D660" i="5"/>
  <c r="C661" i="5"/>
  <c r="D661" i="5"/>
  <c r="C662" i="5"/>
  <c r="D662" i="5"/>
  <c r="C798" i="5"/>
  <c r="D798" i="5"/>
  <c r="C617" i="5"/>
  <c r="D617" i="5"/>
  <c r="C597" i="5"/>
  <c r="D597" i="5"/>
  <c r="C595" i="5"/>
  <c r="D595" i="5"/>
  <c r="C596" i="5"/>
  <c r="D596" i="5"/>
  <c r="C590" i="5"/>
  <c r="D590" i="5"/>
  <c r="C591" i="5"/>
  <c r="D591" i="5"/>
  <c r="C592" i="5"/>
  <c r="D592" i="5"/>
  <c r="C593" i="5"/>
  <c r="D593" i="5"/>
  <c r="C570" i="5"/>
  <c r="D570" i="5"/>
  <c r="C571" i="5"/>
  <c r="D571" i="5"/>
  <c r="C572" i="5"/>
  <c r="D572" i="5"/>
  <c r="C573" i="5"/>
  <c r="D573" i="5"/>
  <c r="C574" i="5"/>
  <c r="D574" i="5"/>
  <c r="C575" i="5"/>
  <c r="D575" i="5"/>
  <c r="C576" i="5"/>
  <c r="D576" i="5"/>
  <c r="C577" i="5"/>
  <c r="D577" i="5"/>
  <c r="C578" i="5"/>
  <c r="D578" i="5"/>
  <c r="C579" i="5"/>
  <c r="D579" i="5"/>
  <c r="C580" i="5"/>
  <c r="D580" i="5"/>
  <c r="C581" i="5"/>
  <c r="D581" i="5"/>
  <c r="C582" i="5"/>
  <c r="D582" i="5"/>
  <c r="C583" i="5"/>
  <c r="D583" i="5"/>
  <c r="C584" i="5"/>
  <c r="D584" i="5"/>
  <c r="C585" i="5"/>
  <c r="D585" i="5"/>
  <c r="C586" i="5"/>
  <c r="D586" i="5"/>
  <c r="C587" i="5"/>
  <c r="D587" i="5"/>
  <c r="C588" i="5"/>
  <c r="D588" i="5"/>
  <c r="C589" i="5"/>
  <c r="D589" i="5"/>
  <c r="C561" i="5"/>
  <c r="D561" i="5"/>
  <c r="C562" i="5"/>
  <c r="D562" i="5"/>
  <c r="C563" i="5"/>
  <c r="D563" i="5"/>
  <c r="C564" i="5"/>
  <c r="D564" i="5"/>
  <c r="C565" i="5"/>
  <c r="D565" i="5"/>
  <c r="C566" i="5"/>
  <c r="D566" i="5"/>
  <c r="C555" i="5"/>
  <c r="D555" i="5"/>
  <c r="C556" i="5"/>
  <c r="D556" i="5"/>
  <c r="C557" i="5"/>
  <c r="D557" i="5"/>
  <c r="C558" i="5"/>
  <c r="D558" i="5"/>
  <c r="C601" i="5"/>
  <c r="D601" i="5"/>
  <c r="C602" i="5"/>
  <c r="D602" i="5"/>
  <c r="C603" i="5"/>
  <c r="D603" i="5"/>
  <c r="C604" i="5"/>
  <c r="D604" i="5"/>
  <c r="C605" i="5"/>
  <c r="D605" i="5"/>
  <c r="C606" i="5"/>
  <c r="D606" i="5"/>
  <c r="C607" i="5"/>
  <c r="D607" i="5"/>
  <c r="C608" i="5"/>
  <c r="D608" i="5"/>
  <c r="C609" i="5"/>
  <c r="D609" i="5"/>
  <c r="C610" i="5"/>
  <c r="D610" i="5"/>
  <c r="C611" i="5"/>
  <c r="D611" i="5"/>
  <c r="C612" i="5"/>
  <c r="D612" i="5"/>
  <c r="C613" i="5"/>
  <c r="D613" i="5"/>
  <c r="C614" i="5"/>
  <c r="D614" i="5"/>
  <c r="C615" i="5"/>
  <c r="D615" i="5"/>
  <c r="C533" i="5"/>
  <c r="D533" i="5"/>
  <c r="C534" i="5"/>
  <c r="D534" i="5"/>
  <c r="C535" i="5"/>
  <c r="D535" i="5"/>
  <c r="C536" i="5"/>
  <c r="D536" i="5"/>
  <c r="C537" i="5"/>
  <c r="D537" i="5"/>
  <c r="C538" i="5"/>
  <c r="D538" i="5"/>
  <c r="C539" i="5"/>
  <c r="D539" i="5"/>
  <c r="C540" i="5"/>
  <c r="D540" i="5"/>
  <c r="C541" i="5"/>
  <c r="D541" i="5"/>
  <c r="C542" i="5"/>
  <c r="D542" i="5"/>
  <c r="C543" i="5"/>
  <c r="D543" i="5"/>
  <c r="C544" i="5"/>
  <c r="D544" i="5"/>
  <c r="C545" i="5"/>
  <c r="D545" i="5"/>
  <c r="C546" i="5"/>
  <c r="D546" i="5"/>
  <c r="C547" i="5"/>
  <c r="D547" i="5"/>
  <c r="C527" i="5"/>
  <c r="D527" i="5"/>
  <c r="C528" i="5"/>
  <c r="D528" i="5"/>
  <c r="C529" i="5"/>
  <c r="D529" i="5"/>
  <c r="C530" i="5"/>
  <c r="D530" i="5"/>
  <c r="C499" i="5"/>
  <c r="D499" i="5"/>
  <c r="C490" i="5"/>
  <c r="D490" i="5"/>
  <c r="C491" i="5"/>
  <c r="D491" i="5"/>
  <c r="C487" i="5"/>
  <c r="D487" i="5"/>
  <c r="C488" i="5"/>
  <c r="D488" i="5"/>
  <c r="C484" i="5"/>
  <c r="D484" i="5"/>
  <c r="C485" i="5"/>
  <c r="D485" i="5"/>
  <c r="C711" i="5"/>
  <c r="D711" i="5"/>
  <c r="C712" i="5"/>
  <c r="D712" i="5"/>
  <c r="C713" i="5"/>
  <c r="D713" i="5"/>
  <c r="C714" i="5"/>
  <c r="D714" i="5"/>
  <c r="C474" i="5"/>
  <c r="D474" i="5"/>
  <c r="C475" i="5"/>
  <c r="D475" i="5"/>
  <c r="C476" i="5"/>
  <c r="D476" i="5"/>
  <c r="C477" i="5"/>
  <c r="D477" i="5"/>
  <c r="C452" i="5"/>
  <c r="D452" i="5"/>
  <c r="C453" i="5"/>
  <c r="D453" i="5"/>
  <c r="C454" i="5"/>
  <c r="D454" i="5"/>
  <c r="C455" i="5"/>
  <c r="D455" i="5"/>
  <c r="C456" i="5"/>
  <c r="D456" i="5"/>
  <c r="C457" i="5"/>
  <c r="D457" i="5"/>
  <c r="C458" i="5"/>
  <c r="D458" i="5"/>
  <c r="C459" i="5"/>
  <c r="D459" i="5"/>
  <c r="C460" i="5"/>
  <c r="D460" i="5"/>
  <c r="C461" i="5"/>
  <c r="D461" i="5"/>
  <c r="C462" i="5"/>
  <c r="D462" i="5"/>
  <c r="C463" i="5"/>
  <c r="D463" i="5"/>
  <c r="C464" i="5"/>
  <c r="D464" i="5"/>
  <c r="C465" i="5"/>
  <c r="D465" i="5"/>
  <c r="C466" i="5"/>
  <c r="D466" i="5"/>
  <c r="C467" i="5"/>
  <c r="D467" i="5"/>
  <c r="C468" i="5"/>
  <c r="D468" i="5"/>
  <c r="C469" i="5"/>
  <c r="D469" i="5"/>
  <c r="C470" i="5"/>
  <c r="D470" i="5"/>
  <c r="C471" i="5"/>
  <c r="D471" i="5"/>
  <c r="C448" i="5"/>
  <c r="D448" i="5"/>
  <c r="C449" i="5"/>
  <c r="D449" i="5"/>
  <c r="C450" i="5"/>
  <c r="D450" i="5"/>
  <c r="C636" i="5"/>
  <c r="D636" i="5"/>
  <c r="C637" i="5"/>
  <c r="D637" i="5"/>
  <c r="C638" i="5"/>
  <c r="D638" i="5"/>
  <c r="C639" i="5"/>
  <c r="D639" i="5"/>
  <c r="C640" i="5"/>
  <c r="D640" i="5"/>
  <c r="C641" i="5"/>
  <c r="D641" i="5"/>
  <c r="C642" i="5"/>
  <c r="D642" i="5"/>
  <c r="C643" i="5"/>
  <c r="D643" i="5"/>
  <c r="C644" i="5"/>
  <c r="D644" i="5"/>
  <c r="C645" i="5"/>
  <c r="D645" i="5"/>
  <c r="C436" i="5"/>
  <c r="D436" i="5"/>
  <c r="C437" i="5"/>
  <c r="D437" i="5"/>
  <c r="C438" i="5"/>
  <c r="D438" i="5"/>
  <c r="C439" i="5"/>
  <c r="D439" i="5"/>
  <c r="C440" i="5"/>
  <c r="D440" i="5"/>
  <c r="C441" i="5"/>
  <c r="D441" i="5"/>
  <c r="C442" i="5"/>
  <c r="D442" i="5"/>
  <c r="C443" i="5"/>
  <c r="D443" i="5"/>
  <c r="C444" i="5"/>
  <c r="D444" i="5"/>
  <c r="C445" i="5"/>
  <c r="D445" i="5"/>
  <c r="C428" i="5"/>
  <c r="D428" i="5"/>
  <c r="C429" i="5"/>
  <c r="D429" i="5"/>
  <c r="C430" i="5"/>
  <c r="D430" i="5"/>
  <c r="C431" i="5"/>
  <c r="D431" i="5"/>
  <c r="C432" i="5"/>
  <c r="D432" i="5"/>
  <c r="C433" i="5"/>
  <c r="D433" i="5"/>
  <c r="C434" i="5"/>
  <c r="D434" i="5"/>
  <c r="C423" i="5"/>
  <c r="D423" i="5"/>
  <c r="C424" i="5"/>
  <c r="D424" i="5"/>
  <c r="C425" i="5"/>
  <c r="D425" i="5"/>
  <c r="C426" i="5"/>
  <c r="D426" i="5"/>
  <c r="C420" i="5"/>
  <c r="D420" i="5"/>
  <c r="C421" i="5"/>
  <c r="D421" i="5"/>
  <c r="C497" i="5"/>
  <c r="D497" i="5"/>
  <c r="C409" i="5"/>
  <c r="D409" i="5"/>
  <c r="C400" i="5"/>
  <c r="D400" i="5"/>
  <c r="C401" i="5"/>
  <c r="D401" i="5"/>
  <c r="C402" i="5"/>
  <c r="D402" i="5"/>
  <c r="C403" i="5"/>
  <c r="D403" i="5"/>
  <c r="C404" i="5"/>
  <c r="D404" i="5"/>
  <c r="C405" i="5"/>
  <c r="D405" i="5"/>
  <c r="C395" i="5"/>
  <c r="D395" i="5"/>
  <c r="C396" i="5"/>
  <c r="D396" i="5"/>
  <c r="C397" i="5"/>
  <c r="D397" i="5"/>
  <c r="C398" i="5"/>
  <c r="D398" i="5"/>
  <c r="C392" i="5"/>
  <c r="D392" i="5"/>
  <c r="C393" i="5"/>
  <c r="D393" i="5"/>
  <c r="C70" i="5"/>
  <c r="D70" i="5"/>
  <c r="C71" i="5"/>
  <c r="D71" i="5"/>
  <c r="C680" i="5"/>
  <c r="D680" i="5"/>
  <c r="C681" i="5"/>
  <c r="D681" i="5"/>
  <c r="C682" i="5"/>
  <c r="D682" i="5"/>
  <c r="C683" i="5"/>
  <c r="D683" i="5"/>
  <c r="C684" i="5"/>
  <c r="D684" i="5"/>
  <c r="C685" i="5"/>
  <c r="D685" i="5"/>
  <c r="C686" i="5"/>
  <c r="D686" i="5"/>
  <c r="C687" i="5"/>
  <c r="D687" i="5"/>
  <c r="C688" i="5"/>
  <c r="D688" i="5"/>
  <c r="C374" i="5"/>
  <c r="D374" i="5"/>
  <c r="C375" i="5"/>
  <c r="D375" i="5"/>
  <c r="C376" i="5"/>
  <c r="D376" i="5"/>
  <c r="C377" i="5"/>
  <c r="D377" i="5"/>
  <c r="C378" i="5"/>
  <c r="D378" i="5"/>
  <c r="C379" i="5"/>
  <c r="D379" i="5"/>
  <c r="C380" i="5"/>
  <c r="D380" i="5"/>
  <c r="C381" i="5"/>
  <c r="D381" i="5"/>
  <c r="C382" i="5"/>
  <c r="D382" i="5"/>
  <c r="C363" i="5"/>
  <c r="D363" i="5"/>
  <c r="C364" i="5"/>
  <c r="D364" i="5"/>
  <c r="C365" i="5"/>
  <c r="D365" i="5"/>
  <c r="C366" i="5"/>
  <c r="D366" i="5"/>
  <c r="C367" i="5"/>
  <c r="D367" i="5"/>
  <c r="C368" i="5"/>
  <c r="D368" i="5"/>
  <c r="C369" i="5"/>
  <c r="D369" i="5"/>
  <c r="C370" i="5"/>
  <c r="D370" i="5"/>
  <c r="C371" i="5"/>
  <c r="D371" i="5"/>
  <c r="C372" i="5"/>
  <c r="D372" i="5"/>
  <c r="C855" i="5"/>
  <c r="D855" i="5"/>
  <c r="C856" i="5"/>
  <c r="D856" i="5"/>
  <c r="C857" i="5"/>
  <c r="D857" i="5"/>
  <c r="C858" i="5"/>
  <c r="D858" i="5"/>
  <c r="C859" i="5"/>
  <c r="D859" i="5"/>
  <c r="C860" i="5"/>
  <c r="D860" i="5"/>
  <c r="C861" i="5"/>
  <c r="D861" i="5"/>
  <c r="C358" i="5"/>
  <c r="D358" i="5"/>
  <c r="C359" i="5"/>
  <c r="D359" i="5"/>
  <c r="C353" i="5"/>
  <c r="D353" i="5"/>
  <c r="C354" i="5"/>
  <c r="D354" i="5"/>
  <c r="C355" i="5"/>
  <c r="D355" i="5"/>
  <c r="C356" i="5"/>
  <c r="D356" i="5"/>
  <c r="C357" i="5"/>
  <c r="D357" i="5"/>
  <c r="C345" i="5"/>
  <c r="D345" i="5"/>
  <c r="C346" i="5"/>
  <c r="D346" i="5"/>
  <c r="C347" i="5"/>
  <c r="D347" i="5"/>
  <c r="C348" i="5"/>
  <c r="D348" i="5"/>
  <c r="C342" i="5"/>
  <c r="D342" i="5"/>
  <c r="C337" i="5"/>
  <c r="D337" i="5"/>
  <c r="C338" i="5"/>
  <c r="D338" i="5"/>
  <c r="C339" i="5"/>
  <c r="D339" i="5"/>
  <c r="C320" i="5"/>
  <c r="D320" i="5"/>
  <c r="C321" i="5"/>
  <c r="D321" i="5"/>
  <c r="C322" i="5"/>
  <c r="D322" i="5"/>
  <c r="C323" i="5"/>
  <c r="D323" i="5"/>
  <c r="C324" i="5"/>
  <c r="D324" i="5"/>
  <c r="C325" i="5"/>
  <c r="D325" i="5"/>
  <c r="C318" i="5"/>
  <c r="D318" i="5"/>
  <c r="C317" i="5"/>
  <c r="D317" i="5"/>
  <c r="C316" i="5"/>
  <c r="D316" i="5"/>
  <c r="C315" i="5"/>
  <c r="D315" i="5"/>
  <c r="C314" i="5"/>
  <c r="D314" i="5"/>
  <c r="C865" i="5"/>
  <c r="C866" i="5"/>
  <c r="C867" i="5"/>
  <c r="C868" i="5"/>
  <c r="C869" i="5"/>
  <c r="C870" i="5"/>
  <c r="C871" i="5"/>
  <c r="C872" i="5"/>
  <c r="C873" i="5"/>
  <c r="C874" i="5"/>
  <c r="D865" i="5"/>
  <c r="D866" i="5"/>
  <c r="D867" i="5"/>
  <c r="D868" i="5"/>
  <c r="D869" i="5"/>
  <c r="D870" i="5"/>
  <c r="D871" i="5"/>
  <c r="D872" i="5"/>
  <c r="D873" i="5"/>
  <c r="D874" i="5"/>
  <c r="C303" i="5"/>
  <c r="D303" i="5"/>
  <c r="C304" i="5"/>
  <c r="D304" i="5"/>
  <c r="C305" i="5"/>
  <c r="D305" i="5"/>
  <c r="C306" i="5"/>
  <c r="D306" i="5"/>
  <c r="C307" i="5"/>
  <c r="D307" i="5"/>
  <c r="C308" i="5"/>
  <c r="D308" i="5"/>
  <c r="C309" i="5"/>
  <c r="D309" i="5"/>
  <c r="C310" i="5"/>
  <c r="D310" i="5"/>
  <c r="C311" i="5"/>
  <c r="D311" i="5"/>
  <c r="C312" i="5"/>
  <c r="D312" i="5"/>
  <c r="C297" i="5"/>
  <c r="D297" i="5"/>
  <c r="C298" i="5"/>
  <c r="D298" i="5"/>
  <c r="C299" i="5"/>
  <c r="D299" i="5"/>
  <c r="C521" i="5"/>
  <c r="D521" i="5"/>
  <c r="C522" i="5"/>
  <c r="D522" i="5"/>
  <c r="C523" i="5"/>
  <c r="D523" i="5"/>
  <c r="C524" i="5"/>
  <c r="D524" i="5"/>
  <c r="C525" i="5"/>
  <c r="D525" i="5"/>
  <c r="C813" i="5"/>
  <c r="D813" i="5"/>
  <c r="C814" i="5"/>
  <c r="D814" i="5"/>
  <c r="C815" i="5"/>
  <c r="D815" i="5"/>
  <c r="C816" i="5"/>
  <c r="D816" i="5"/>
  <c r="C291" i="5"/>
  <c r="D291" i="5"/>
  <c r="C292" i="5"/>
  <c r="D292" i="5"/>
  <c r="C293" i="5"/>
  <c r="D293" i="5"/>
  <c r="C294" i="5"/>
  <c r="D294" i="5"/>
  <c r="C295" i="5"/>
  <c r="D295" i="5"/>
  <c r="C296" i="5"/>
  <c r="D296" i="5"/>
  <c r="C286" i="5"/>
  <c r="D286" i="5"/>
  <c r="C287" i="5"/>
  <c r="D287" i="5"/>
  <c r="C288" i="5"/>
  <c r="D288" i="5"/>
  <c r="C289" i="5"/>
  <c r="D289" i="5"/>
  <c r="C284" i="5"/>
  <c r="D284" i="5"/>
  <c r="C279" i="5"/>
  <c r="D279" i="5"/>
  <c r="C280" i="5"/>
  <c r="D280" i="5"/>
  <c r="C274" i="5"/>
  <c r="D274" i="5"/>
  <c r="C275" i="5"/>
  <c r="D275" i="5"/>
  <c r="C276" i="5"/>
  <c r="D276" i="5"/>
  <c r="C277" i="5"/>
  <c r="D277" i="5"/>
  <c r="C755" i="5"/>
  <c r="D755" i="5"/>
  <c r="C756" i="5"/>
  <c r="D756" i="5"/>
  <c r="C757" i="5"/>
  <c r="D757" i="5"/>
  <c r="C758" i="5"/>
  <c r="D758" i="5"/>
  <c r="C759" i="5"/>
  <c r="D759" i="5"/>
  <c r="C760" i="5"/>
  <c r="D760" i="5"/>
  <c r="C761" i="5"/>
  <c r="D761" i="5"/>
  <c r="C762" i="5"/>
  <c r="D762" i="5"/>
  <c r="C763" i="5"/>
  <c r="D763" i="5"/>
  <c r="C764" i="5"/>
  <c r="D764" i="5"/>
  <c r="C765" i="5"/>
  <c r="D765" i="5"/>
  <c r="C257" i="5"/>
  <c r="D257" i="5"/>
  <c r="C258" i="5"/>
  <c r="D258" i="5"/>
  <c r="C259" i="5"/>
  <c r="D259" i="5"/>
  <c r="C260" i="5"/>
  <c r="D260" i="5"/>
  <c r="C261" i="5"/>
  <c r="D261" i="5"/>
  <c r="C262" i="5"/>
  <c r="D262" i="5"/>
  <c r="C263" i="5"/>
  <c r="D263" i="5"/>
  <c r="C264" i="5"/>
  <c r="D264" i="5"/>
  <c r="C265" i="5"/>
  <c r="D265" i="5"/>
  <c r="C266" i="5"/>
  <c r="D266" i="5"/>
  <c r="C267" i="5"/>
  <c r="D267" i="5"/>
  <c r="C268" i="5"/>
  <c r="D268" i="5"/>
  <c r="C504" i="5"/>
  <c r="D504" i="5"/>
  <c r="C505" i="5"/>
  <c r="D505" i="5"/>
  <c r="C506" i="5"/>
  <c r="D506" i="5"/>
  <c r="C507" i="5"/>
  <c r="D507" i="5"/>
  <c r="C508" i="5"/>
  <c r="D508" i="5"/>
  <c r="C509" i="5"/>
  <c r="D509" i="5"/>
  <c r="C251" i="5"/>
  <c r="D251" i="5"/>
  <c r="C252" i="5"/>
  <c r="D252" i="5"/>
  <c r="C253" i="5"/>
  <c r="D253" i="5"/>
  <c r="C254" i="5"/>
  <c r="D254" i="5"/>
  <c r="C255" i="5"/>
  <c r="D255" i="5"/>
  <c r="C256" i="5"/>
  <c r="D256" i="5"/>
  <c r="C232" i="5"/>
  <c r="D232" i="5"/>
  <c r="C233" i="5"/>
  <c r="D233" i="5"/>
  <c r="C234" i="5"/>
  <c r="D234" i="5"/>
  <c r="C235" i="5"/>
  <c r="D235" i="5"/>
  <c r="C236" i="5"/>
  <c r="D236" i="5"/>
  <c r="C237" i="5"/>
  <c r="D237" i="5"/>
  <c r="C238" i="5"/>
  <c r="D238" i="5"/>
  <c r="C239" i="5"/>
  <c r="D239" i="5"/>
  <c r="C240" i="5"/>
  <c r="D240" i="5"/>
  <c r="C241" i="5"/>
  <c r="D241" i="5"/>
  <c r="C242" i="5"/>
  <c r="D242" i="5"/>
  <c r="C243" i="5"/>
  <c r="D243" i="5"/>
  <c r="C222" i="5"/>
  <c r="D222" i="5"/>
  <c r="C223" i="5"/>
  <c r="D223" i="5"/>
  <c r="C224" i="5"/>
  <c r="D224" i="5"/>
  <c r="C225" i="5"/>
  <c r="D225" i="5"/>
  <c r="C226" i="5"/>
  <c r="D226" i="5"/>
  <c r="C227" i="5"/>
  <c r="D227" i="5"/>
  <c r="C719" i="5"/>
  <c r="D719" i="5"/>
  <c r="C720" i="5"/>
  <c r="D720" i="5"/>
  <c r="C721" i="5"/>
  <c r="D721" i="5"/>
  <c r="C722" i="5"/>
  <c r="D722" i="5"/>
  <c r="C723" i="5"/>
  <c r="D723" i="5"/>
  <c r="C724" i="5"/>
  <c r="D724" i="5"/>
  <c r="C725" i="5"/>
  <c r="D725" i="5"/>
  <c r="C726" i="5"/>
  <c r="D726" i="5"/>
  <c r="C727" i="5"/>
  <c r="D727" i="5"/>
  <c r="C728" i="5"/>
  <c r="D728" i="5"/>
  <c r="C729" i="5"/>
  <c r="D729" i="5"/>
  <c r="C730" i="5"/>
  <c r="D730" i="5"/>
  <c r="C731" i="5"/>
  <c r="D731" i="5"/>
  <c r="C732" i="5"/>
  <c r="D732" i="5"/>
  <c r="C733" i="5"/>
  <c r="D733" i="5"/>
  <c r="C213" i="5"/>
  <c r="D213" i="5"/>
  <c r="C214" i="5"/>
  <c r="D214" i="5"/>
  <c r="C215" i="5"/>
  <c r="D215" i="5"/>
  <c r="C216" i="5"/>
  <c r="D216" i="5"/>
  <c r="C217" i="5"/>
  <c r="D217" i="5"/>
  <c r="C218" i="5"/>
  <c r="D218" i="5"/>
  <c r="C219" i="5"/>
  <c r="D219" i="5"/>
  <c r="C220" i="5"/>
  <c r="D220" i="5"/>
  <c r="C221" i="5"/>
  <c r="D221" i="5"/>
  <c r="C197" i="5"/>
  <c r="D197" i="5"/>
  <c r="C198" i="5"/>
  <c r="D198" i="5"/>
  <c r="C199" i="5"/>
  <c r="D199" i="5"/>
  <c r="C200" i="5"/>
  <c r="D200" i="5"/>
  <c r="C201" i="5"/>
  <c r="D201" i="5"/>
  <c r="C202" i="5"/>
  <c r="D202" i="5"/>
  <c r="C203" i="5"/>
  <c r="D203" i="5"/>
  <c r="C204" i="5"/>
  <c r="D204" i="5"/>
  <c r="C205" i="5"/>
  <c r="D205" i="5"/>
  <c r="C206" i="5"/>
  <c r="D206" i="5"/>
  <c r="C207" i="5"/>
  <c r="D207" i="5"/>
  <c r="C208" i="5"/>
  <c r="D208" i="5"/>
  <c r="C209" i="5"/>
  <c r="D209" i="5"/>
  <c r="C210" i="5"/>
  <c r="D210" i="5"/>
  <c r="C211" i="5"/>
  <c r="D211" i="5"/>
  <c r="C212" i="5"/>
  <c r="D212" i="5"/>
  <c r="C845" i="5"/>
  <c r="D845" i="5"/>
  <c r="C826" i="5"/>
  <c r="D826" i="5"/>
  <c r="C827" i="5"/>
  <c r="D827" i="5"/>
  <c r="C828" i="5"/>
  <c r="D828" i="5"/>
  <c r="C829" i="5"/>
  <c r="D829" i="5"/>
  <c r="C830" i="5"/>
  <c r="D830" i="5"/>
  <c r="C831" i="5"/>
  <c r="D831" i="5"/>
  <c r="C832" i="5"/>
  <c r="D832" i="5"/>
  <c r="C833" i="5"/>
  <c r="D833" i="5"/>
  <c r="C834" i="5"/>
  <c r="D834" i="5"/>
  <c r="C835" i="5"/>
  <c r="D835" i="5"/>
  <c r="C836" i="5"/>
  <c r="D836" i="5"/>
  <c r="C837" i="5"/>
  <c r="D837" i="5"/>
  <c r="C838" i="5"/>
  <c r="D838" i="5"/>
  <c r="C839" i="5"/>
  <c r="D839" i="5"/>
  <c r="C840" i="5"/>
  <c r="D840" i="5"/>
  <c r="C841" i="5"/>
  <c r="D841" i="5"/>
  <c r="C842" i="5"/>
  <c r="D842" i="5"/>
  <c r="C843" i="5"/>
  <c r="D843" i="5"/>
  <c r="C844" i="5"/>
  <c r="D844" i="5"/>
  <c r="C176" i="5"/>
  <c r="D176" i="5"/>
  <c r="C177" i="5"/>
  <c r="D177" i="5"/>
  <c r="C178" i="5"/>
  <c r="D178" i="5"/>
  <c r="C179" i="5"/>
  <c r="D179" i="5"/>
  <c r="C180" i="5"/>
  <c r="D180" i="5"/>
  <c r="C181" i="5"/>
  <c r="D181" i="5"/>
  <c r="C182" i="5"/>
  <c r="D182" i="5"/>
  <c r="C183" i="5"/>
  <c r="D183" i="5"/>
  <c r="C184" i="5"/>
  <c r="D184" i="5"/>
  <c r="C185" i="5"/>
  <c r="D185" i="5"/>
  <c r="C186" i="5"/>
  <c r="D186" i="5"/>
  <c r="C187" i="5"/>
  <c r="D187" i="5"/>
  <c r="C188" i="5"/>
  <c r="D188" i="5"/>
  <c r="C189" i="5"/>
  <c r="D189" i="5"/>
  <c r="C190" i="5"/>
  <c r="D190" i="5"/>
  <c r="C191" i="5"/>
  <c r="D191" i="5"/>
  <c r="C192" i="5"/>
  <c r="D192" i="5"/>
  <c r="C193" i="5"/>
  <c r="D193" i="5"/>
  <c r="C194" i="5"/>
  <c r="D194" i="5"/>
  <c r="C195" i="5"/>
  <c r="D195" i="5"/>
  <c r="C196" i="5"/>
  <c r="D196" i="5"/>
  <c r="C361" i="5"/>
  <c r="D361" i="5"/>
  <c r="C174" i="5"/>
  <c r="D174" i="5"/>
  <c r="C175" i="5"/>
  <c r="D175" i="5"/>
  <c r="C171" i="5"/>
  <c r="D171" i="5"/>
  <c r="C634" i="5"/>
  <c r="D634" i="5"/>
  <c r="C628" i="5"/>
  <c r="D628" i="5"/>
  <c r="C629" i="5"/>
  <c r="D629" i="5"/>
  <c r="C630" i="5"/>
  <c r="D630" i="5"/>
  <c r="C631" i="5"/>
  <c r="D631" i="5"/>
  <c r="C632" i="5"/>
  <c r="D632" i="5"/>
  <c r="C633" i="5"/>
  <c r="D633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553" i="5"/>
  <c r="D553" i="5"/>
  <c r="C159" i="5"/>
  <c r="D159" i="5"/>
  <c r="C160" i="5"/>
  <c r="D160" i="5"/>
  <c r="C154" i="5"/>
  <c r="D154" i="5"/>
  <c r="C155" i="5"/>
  <c r="D155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87" i="5"/>
  <c r="D87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512" i="5"/>
  <c r="D512" i="5"/>
  <c r="C513" i="5"/>
  <c r="D513" i="5"/>
  <c r="C514" i="5"/>
  <c r="D514" i="5"/>
  <c r="C515" i="5"/>
  <c r="D515" i="5"/>
  <c r="C516" i="5"/>
  <c r="D516" i="5"/>
  <c r="C517" i="5"/>
  <c r="D517" i="5"/>
  <c r="C518" i="5"/>
  <c r="D518" i="5"/>
  <c r="C519" i="5"/>
  <c r="D519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478" i="5"/>
  <c r="D478" i="5"/>
  <c r="C479" i="5"/>
  <c r="D479" i="5"/>
  <c r="C480" i="5"/>
  <c r="D480" i="5"/>
  <c r="C481" i="5"/>
  <c r="D481" i="5"/>
  <c r="C482" i="5"/>
  <c r="D482" i="5"/>
  <c r="C64" i="5"/>
  <c r="D64" i="5"/>
  <c r="C65" i="5"/>
  <c r="D65" i="5"/>
  <c r="C66" i="5"/>
  <c r="D66" i="5"/>
  <c r="C67" i="5"/>
  <c r="D67" i="5"/>
  <c r="C68" i="5"/>
  <c r="D6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8" i="5"/>
  <c r="D58" i="5"/>
  <c r="C59" i="5"/>
  <c r="D59" i="5"/>
  <c r="C60" i="5"/>
  <c r="D60" i="5"/>
  <c r="C61" i="5"/>
  <c r="D61" i="5"/>
  <c r="C62" i="5"/>
  <c r="D62" i="5"/>
  <c r="C33" i="5"/>
  <c r="D33" i="5"/>
  <c r="C34" i="5"/>
  <c r="D34" i="5"/>
  <c r="C35" i="5"/>
  <c r="D35" i="5"/>
  <c r="C36" i="5"/>
  <c r="D36" i="5"/>
  <c r="C37" i="5"/>
  <c r="D37" i="5"/>
  <c r="C27" i="5"/>
  <c r="D27" i="5"/>
  <c r="C28" i="5"/>
  <c r="D28" i="5"/>
  <c r="C29" i="5"/>
  <c r="D29" i="5"/>
  <c r="C30" i="5"/>
  <c r="D30" i="5"/>
  <c r="C23" i="5"/>
  <c r="D23" i="5"/>
  <c r="C619" i="5"/>
  <c r="D619" i="5"/>
  <c r="C620" i="5"/>
  <c r="D620" i="5"/>
  <c r="C621" i="5"/>
  <c r="D621" i="5"/>
  <c r="C19" i="5"/>
  <c r="D19" i="5"/>
  <c r="C20" i="5"/>
  <c r="D20" i="5"/>
  <c r="C15" i="5"/>
  <c r="D15" i="5"/>
  <c r="C16" i="5"/>
  <c r="D16" i="5"/>
  <c r="C13" i="5"/>
  <c r="D13" i="5"/>
  <c r="C8" i="5"/>
  <c r="D8" i="5"/>
  <c r="C9" i="5"/>
  <c r="D9" i="5"/>
  <c r="C3" i="5"/>
  <c r="D3" i="5"/>
  <c r="C4" i="5"/>
  <c r="D4" i="5"/>
  <c r="C5" i="5"/>
  <c r="D5" i="5"/>
  <c r="C6" i="5"/>
  <c r="D6" i="5"/>
  <c r="D7" i="5"/>
  <c r="D10" i="5"/>
  <c r="D11" i="5"/>
  <c r="D12" i="5"/>
  <c r="D14" i="5"/>
  <c r="D17" i="5"/>
  <c r="D18" i="5"/>
  <c r="D21" i="5"/>
  <c r="D22" i="5"/>
  <c r="D24" i="5"/>
  <c r="D25" i="5"/>
  <c r="D26" i="5"/>
  <c r="D31" i="5"/>
  <c r="D32" i="5"/>
  <c r="D38" i="5"/>
  <c r="D57" i="5"/>
  <c r="D63" i="5"/>
  <c r="D69" i="5"/>
  <c r="D156" i="5"/>
  <c r="D157" i="5"/>
  <c r="D158" i="5"/>
  <c r="D161" i="5"/>
  <c r="D169" i="5"/>
  <c r="D170" i="5"/>
  <c r="D172" i="5"/>
  <c r="D173" i="5"/>
  <c r="D228" i="5"/>
  <c r="D229" i="5"/>
  <c r="D230" i="5"/>
  <c r="D231" i="5"/>
  <c r="D244" i="5"/>
  <c r="D245" i="5"/>
  <c r="D246" i="5"/>
  <c r="D247" i="5"/>
  <c r="D248" i="5"/>
  <c r="D249" i="5"/>
  <c r="D250" i="5"/>
  <c r="D269" i="5"/>
  <c r="D270" i="5"/>
  <c r="D271" i="5"/>
  <c r="D272" i="5"/>
  <c r="D273" i="5"/>
  <c r="D278" i="5"/>
  <c r="D281" i="5"/>
  <c r="D282" i="5"/>
  <c r="D283" i="5"/>
  <c r="D285" i="5"/>
  <c r="D290" i="5"/>
  <c r="D300" i="5"/>
  <c r="D301" i="5"/>
  <c r="D302" i="5"/>
  <c r="D313" i="5"/>
  <c r="D319" i="5"/>
  <c r="D326" i="5"/>
  <c r="D327" i="5"/>
  <c r="D328" i="5"/>
  <c r="D329" i="5"/>
  <c r="D330" i="5"/>
  <c r="D331" i="5"/>
  <c r="D332" i="5"/>
  <c r="D333" i="5"/>
  <c r="D334" i="5"/>
  <c r="D335" i="5"/>
  <c r="D336" i="5"/>
  <c r="D340" i="5"/>
  <c r="D341" i="5"/>
  <c r="D343" i="5"/>
  <c r="D344" i="5"/>
  <c r="D349" i="5"/>
  <c r="D350" i="5"/>
  <c r="D351" i="5"/>
  <c r="D352" i="5"/>
  <c r="D360" i="5"/>
  <c r="D362" i="5"/>
  <c r="D373" i="5"/>
  <c r="D383" i="5"/>
  <c r="D384" i="5"/>
  <c r="D385" i="5"/>
  <c r="D386" i="5"/>
  <c r="D387" i="5"/>
  <c r="D388" i="5"/>
  <c r="D389" i="5"/>
  <c r="D390" i="5"/>
  <c r="D391" i="5"/>
  <c r="D394" i="5"/>
  <c r="D399" i="5"/>
  <c r="D406" i="5"/>
  <c r="D407" i="5"/>
  <c r="D408" i="5"/>
  <c r="D410" i="5"/>
  <c r="D411" i="5"/>
  <c r="D412" i="5"/>
  <c r="D413" i="5"/>
  <c r="D414" i="5"/>
  <c r="D415" i="5"/>
  <c r="D416" i="5"/>
  <c r="D417" i="5"/>
  <c r="D418" i="5"/>
  <c r="D419" i="5"/>
  <c r="D422" i="5"/>
  <c r="D427" i="5"/>
  <c r="D435" i="5"/>
  <c r="D446" i="5"/>
  <c r="D447" i="5"/>
  <c r="D451" i="5"/>
  <c r="D472" i="5"/>
  <c r="D473" i="5"/>
  <c r="D483" i="5"/>
  <c r="D486" i="5"/>
  <c r="D489" i="5"/>
  <c r="D492" i="5"/>
  <c r="D493" i="5"/>
  <c r="D494" i="5"/>
  <c r="D495" i="5"/>
  <c r="D496" i="5"/>
  <c r="D498" i="5"/>
  <c r="D500" i="5"/>
  <c r="D501" i="5"/>
  <c r="D502" i="5"/>
  <c r="D503" i="5"/>
  <c r="D510" i="5"/>
  <c r="D511" i="5"/>
  <c r="D520" i="5"/>
  <c r="D526" i="5"/>
  <c r="D531" i="5"/>
  <c r="D532" i="5"/>
  <c r="D548" i="5"/>
  <c r="D549" i="5"/>
  <c r="D550" i="5"/>
  <c r="D551" i="5"/>
  <c r="D552" i="5"/>
  <c r="D554" i="5"/>
  <c r="D559" i="5"/>
  <c r="D560" i="5"/>
  <c r="D567" i="5"/>
  <c r="D568" i="5"/>
  <c r="D569" i="5"/>
  <c r="D594" i="5"/>
  <c r="D598" i="5"/>
  <c r="D599" i="5"/>
  <c r="D600" i="5"/>
  <c r="D616" i="5"/>
  <c r="D618" i="5"/>
  <c r="D622" i="5"/>
  <c r="D623" i="5"/>
  <c r="D624" i="5"/>
  <c r="D625" i="5"/>
  <c r="D626" i="5"/>
  <c r="D627" i="5"/>
  <c r="D635" i="5"/>
  <c r="D646" i="5"/>
  <c r="D666" i="5"/>
  <c r="D675" i="5"/>
  <c r="D676" i="5"/>
  <c r="D677" i="5"/>
  <c r="D690" i="5"/>
  <c r="D710" i="5"/>
  <c r="D715" i="5"/>
  <c r="D716" i="5"/>
  <c r="D717" i="5"/>
  <c r="D734" i="5"/>
  <c r="D735" i="5"/>
  <c r="D736" i="5"/>
  <c r="D739" i="5"/>
  <c r="D740" i="5"/>
  <c r="D741" i="5"/>
  <c r="D742" i="5"/>
  <c r="D743" i="5"/>
  <c r="D744" i="5"/>
  <c r="D748" i="5"/>
  <c r="D751" i="5"/>
  <c r="D752" i="5"/>
  <c r="D766" i="5"/>
  <c r="D767" i="5"/>
  <c r="D779" i="5"/>
  <c r="D780" i="5"/>
  <c r="D789" i="5"/>
  <c r="D790" i="5"/>
  <c r="D796" i="5"/>
  <c r="D797" i="5"/>
  <c r="D799" i="5"/>
  <c r="D801" i="5"/>
  <c r="D802" i="5"/>
  <c r="D803" i="5"/>
  <c r="D804" i="5"/>
  <c r="D805" i="5"/>
  <c r="D806" i="5"/>
  <c r="D807" i="5"/>
  <c r="D808" i="5"/>
  <c r="D817" i="5"/>
  <c r="D818" i="5"/>
  <c r="D824" i="5"/>
  <c r="D825" i="5"/>
  <c r="D846" i="5"/>
  <c r="D847" i="5"/>
  <c r="D849" i="5"/>
  <c r="D862" i="5"/>
  <c r="D863" i="5"/>
  <c r="D864" i="5"/>
  <c r="D2" i="5"/>
  <c r="C2" i="5"/>
  <c r="C7" i="5"/>
  <c r="C10" i="5"/>
  <c r="C11" i="5"/>
  <c r="C12" i="5"/>
  <c r="C14" i="5"/>
  <c r="C17" i="5"/>
  <c r="C18" i="5"/>
  <c r="C21" i="5"/>
  <c r="C22" i="5"/>
  <c r="C24" i="5"/>
  <c r="C25" i="5"/>
  <c r="C26" i="5"/>
  <c r="C31" i="5"/>
  <c r="C32" i="5"/>
  <c r="C38" i="5"/>
  <c r="C57" i="5"/>
  <c r="C63" i="5"/>
  <c r="C69" i="5"/>
  <c r="C156" i="5"/>
  <c r="C157" i="5"/>
  <c r="C158" i="5"/>
  <c r="C161" i="5"/>
  <c r="C169" i="5"/>
  <c r="C170" i="5"/>
  <c r="C172" i="5"/>
  <c r="C173" i="5"/>
  <c r="C228" i="5"/>
  <c r="C229" i="5"/>
  <c r="C230" i="5"/>
  <c r="C231" i="5"/>
  <c r="C244" i="5"/>
  <c r="C245" i="5"/>
  <c r="C246" i="5"/>
  <c r="C247" i="5"/>
  <c r="C248" i="5"/>
  <c r="C249" i="5"/>
  <c r="C250" i="5"/>
  <c r="C269" i="5"/>
  <c r="C270" i="5"/>
  <c r="C271" i="5"/>
  <c r="C272" i="5"/>
  <c r="C273" i="5"/>
  <c r="C278" i="5"/>
  <c r="C281" i="5"/>
  <c r="C282" i="5"/>
  <c r="C283" i="5"/>
  <c r="C285" i="5"/>
  <c r="C290" i="5"/>
  <c r="C300" i="5"/>
  <c r="C301" i="5"/>
  <c r="C302" i="5"/>
  <c r="C313" i="5"/>
  <c r="C319" i="5"/>
  <c r="C326" i="5"/>
  <c r="C327" i="5"/>
  <c r="C328" i="5"/>
  <c r="C329" i="5"/>
  <c r="C330" i="5"/>
  <c r="C331" i="5"/>
  <c r="C332" i="5"/>
  <c r="C333" i="5"/>
  <c r="C334" i="5"/>
  <c r="C335" i="5"/>
  <c r="C336" i="5"/>
  <c r="C340" i="5"/>
  <c r="C341" i="5"/>
  <c r="C343" i="5"/>
  <c r="C344" i="5"/>
  <c r="C349" i="5"/>
  <c r="C350" i="5"/>
  <c r="C351" i="5"/>
  <c r="C352" i="5"/>
  <c r="C360" i="5"/>
  <c r="C362" i="5"/>
  <c r="C373" i="5"/>
  <c r="C383" i="5"/>
  <c r="C384" i="5"/>
  <c r="C385" i="5"/>
  <c r="C386" i="5"/>
  <c r="C387" i="5"/>
  <c r="C388" i="5"/>
  <c r="C389" i="5"/>
  <c r="C390" i="5"/>
  <c r="C391" i="5"/>
  <c r="C394" i="5"/>
  <c r="C399" i="5"/>
  <c r="C406" i="5"/>
  <c r="C407" i="5"/>
  <c r="C408" i="5"/>
  <c r="C410" i="5"/>
  <c r="C411" i="5"/>
  <c r="C412" i="5"/>
  <c r="C413" i="5"/>
  <c r="C414" i="5"/>
  <c r="C415" i="5"/>
  <c r="C416" i="5"/>
  <c r="C417" i="5"/>
  <c r="C418" i="5"/>
  <c r="C419" i="5"/>
  <c r="C422" i="5"/>
  <c r="C427" i="5"/>
  <c r="C435" i="5"/>
  <c r="C446" i="5"/>
  <c r="C447" i="5"/>
  <c r="C451" i="5"/>
  <c r="C472" i="5"/>
  <c r="C473" i="5"/>
  <c r="C483" i="5"/>
  <c r="C486" i="5"/>
  <c r="C489" i="5"/>
  <c r="C492" i="5"/>
  <c r="C493" i="5"/>
  <c r="C494" i="5"/>
  <c r="C495" i="5"/>
  <c r="C496" i="5"/>
  <c r="C498" i="5"/>
  <c r="C500" i="5"/>
  <c r="C501" i="5"/>
  <c r="C502" i="5"/>
  <c r="C503" i="5"/>
  <c r="C510" i="5"/>
  <c r="C511" i="5"/>
  <c r="C520" i="5"/>
  <c r="C526" i="5"/>
  <c r="C531" i="5"/>
  <c r="C532" i="5"/>
  <c r="C548" i="5"/>
  <c r="C549" i="5"/>
  <c r="C550" i="5"/>
  <c r="C551" i="5"/>
  <c r="C552" i="5"/>
  <c r="C554" i="5"/>
  <c r="C559" i="5"/>
  <c r="C560" i="5"/>
  <c r="C567" i="5"/>
  <c r="C568" i="5"/>
  <c r="C569" i="5"/>
  <c r="C594" i="5"/>
  <c r="C598" i="5"/>
  <c r="C599" i="5"/>
  <c r="C600" i="5"/>
  <c r="C616" i="5"/>
  <c r="C618" i="5"/>
  <c r="C622" i="5"/>
  <c r="C623" i="5"/>
  <c r="C624" i="5"/>
  <c r="C625" i="5"/>
  <c r="C626" i="5"/>
  <c r="C627" i="5"/>
  <c r="C635" i="5"/>
  <c r="C646" i="5"/>
  <c r="C666" i="5"/>
  <c r="C675" i="5"/>
  <c r="C676" i="5"/>
  <c r="C677" i="5"/>
  <c r="C690" i="5"/>
  <c r="C710" i="5"/>
  <c r="C715" i="5"/>
  <c r="C716" i="5"/>
  <c r="C717" i="5"/>
  <c r="C734" i="5"/>
  <c r="C735" i="5"/>
  <c r="C736" i="5"/>
  <c r="C739" i="5"/>
  <c r="C740" i="5"/>
  <c r="C741" i="5"/>
  <c r="C742" i="5"/>
  <c r="C743" i="5"/>
  <c r="C744" i="5"/>
  <c r="C748" i="5"/>
  <c r="C751" i="5"/>
  <c r="C752" i="5"/>
  <c r="C766" i="5"/>
  <c r="C767" i="5"/>
  <c r="C779" i="5"/>
  <c r="C780" i="5"/>
  <c r="C789" i="5"/>
  <c r="C790" i="5"/>
  <c r="C796" i="5"/>
  <c r="C797" i="5"/>
  <c r="C799" i="5"/>
  <c r="C801" i="5"/>
  <c r="C802" i="5"/>
  <c r="C803" i="5"/>
  <c r="C804" i="5"/>
  <c r="C805" i="5"/>
  <c r="C806" i="5"/>
  <c r="C807" i="5"/>
  <c r="C808" i="5"/>
  <c r="C817" i="5"/>
  <c r="C818" i="5"/>
  <c r="C824" i="5"/>
  <c r="C825" i="5"/>
  <c r="C846" i="5"/>
  <c r="C847" i="5"/>
  <c r="C849" i="5"/>
  <c r="C862" i="5"/>
  <c r="C863" i="5"/>
  <c r="C864" i="5"/>
  <c r="D3" i="4"/>
  <c r="I8" i="4"/>
  <c r="I9" i="4"/>
  <c r="I10" i="4"/>
  <c r="I11" i="4"/>
  <c r="I12" i="4"/>
  <c r="H12" i="4" s="1"/>
  <c r="I13" i="4"/>
  <c r="I14" i="4"/>
  <c r="H14" i="4" s="1"/>
  <c r="I15" i="4"/>
  <c r="H15" i="4" s="1"/>
  <c r="I16" i="4"/>
  <c r="I17" i="4"/>
  <c r="I18" i="4"/>
  <c r="I19" i="4"/>
  <c r="H19" i="4" s="1"/>
  <c r="I20" i="4"/>
  <c r="I21" i="4"/>
  <c r="H21" i="4" s="1"/>
  <c r="I22" i="4"/>
  <c r="H22" i="4" s="1"/>
  <c r="I23" i="4"/>
  <c r="H23" i="4" s="1"/>
  <c r="I24" i="4"/>
  <c r="I25" i="4"/>
  <c r="H25" i="4" s="1"/>
  <c r="I26" i="4"/>
  <c r="H26" i="4" s="1"/>
  <c r="I27" i="4"/>
  <c r="H27" i="4" s="1"/>
  <c r="I28" i="4"/>
  <c r="I29" i="4"/>
  <c r="I30" i="4"/>
  <c r="I31" i="4"/>
  <c r="I32" i="4"/>
  <c r="H32" i="4" s="1"/>
  <c r="I33" i="4"/>
  <c r="H33" i="4" s="1"/>
  <c r="I34" i="4"/>
  <c r="H34" i="4" s="1"/>
  <c r="I35" i="4"/>
  <c r="I36" i="4"/>
  <c r="H36" i="4" s="1"/>
  <c r="I37" i="4"/>
  <c r="H37" i="4" s="1"/>
  <c r="I38" i="4"/>
  <c r="I39" i="4"/>
  <c r="H39" i="4" s="1"/>
  <c r="I40" i="4"/>
  <c r="H40" i="4" s="1"/>
  <c r="I41" i="4"/>
  <c r="I42" i="4"/>
  <c r="I43" i="4"/>
  <c r="H43" i="4" s="1"/>
  <c r="I44" i="4"/>
  <c r="H44" i="4" s="1"/>
  <c r="I45" i="4"/>
  <c r="H45" i="4" s="1"/>
  <c r="I46" i="4"/>
  <c r="H46" i="4" s="1"/>
  <c r="I47" i="4"/>
  <c r="I48" i="4"/>
  <c r="H48" i="4" s="1"/>
  <c r="I49" i="4"/>
  <c r="I50" i="4"/>
  <c r="I51" i="4"/>
  <c r="I52" i="4"/>
  <c r="H52" i="4" s="1"/>
  <c r="I53" i="4"/>
  <c r="I54" i="4"/>
  <c r="H54" i="4" s="1"/>
  <c r="I55" i="4"/>
  <c r="H55" i="4" s="1"/>
  <c r="I56" i="4"/>
  <c r="I57" i="4"/>
  <c r="I58" i="4"/>
  <c r="I59" i="4"/>
  <c r="I60" i="4"/>
  <c r="I61" i="4"/>
  <c r="I62" i="4"/>
  <c r="H62" i="4" s="1"/>
  <c r="I63" i="4"/>
  <c r="H63" i="4" s="1"/>
  <c r="I64" i="4"/>
  <c r="I65" i="4"/>
  <c r="I66" i="4"/>
  <c r="I67" i="4"/>
  <c r="I68" i="4"/>
  <c r="I69" i="4"/>
  <c r="H69" i="4" s="1"/>
  <c r="I70" i="4"/>
  <c r="I71" i="4"/>
  <c r="H71" i="4" s="1"/>
  <c r="I72" i="4"/>
  <c r="H72" i="4" s="1"/>
  <c r="I73" i="4"/>
  <c r="I74" i="4"/>
  <c r="H74" i="4" s="1"/>
  <c r="I75" i="4"/>
  <c r="I76" i="4"/>
  <c r="I77" i="4"/>
  <c r="H77" i="4" s="1"/>
  <c r="I78" i="4"/>
  <c r="I79" i="4"/>
  <c r="I80" i="4"/>
  <c r="I81" i="4"/>
  <c r="I82" i="4"/>
  <c r="I83" i="4"/>
  <c r="I84" i="4"/>
  <c r="H84" i="4" s="1"/>
  <c r="I85" i="4"/>
  <c r="I86" i="4"/>
  <c r="I87" i="4"/>
  <c r="H87" i="4" s="1"/>
  <c r="I88" i="4"/>
  <c r="I89" i="4"/>
  <c r="H89" i="4" s="1"/>
  <c r="I90" i="4"/>
  <c r="H90" i="4" s="1"/>
  <c r="I91" i="4"/>
  <c r="H91" i="4" s="1"/>
  <c r="I92" i="4"/>
  <c r="H92" i="4" s="1"/>
  <c r="I93" i="4"/>
  <c r="I94" i="4"/>
  <c r="I95" i="4"/>
  <c r="I96" i="4"/>
  <c r="I97" i="4"/>
  <c r="I98" i="4"/>
  <c r="H98" i="4" s="1"/>
  <c r="I99" i="4"/>
  <c r="I100" i="4"/>
  <c r="I101" i="4"/>
  <c r="I102" i="4"/>
  <c r="I103" i="4"/>
  <c r="H103" i="4" s="1"/>
  <c r="I104" i="4"/>
  <c r="I105" i="4"/>
  <c r="I106" i="4"/>
  <c r="I107" i="4"/>
  <c r="I108" i="4"/>
  <c r="H108" i="4" s="1"/>
  <c r="I109" i="4"/>
  <c r="H109" i="4" s="1"/>
  <c r="I110" i="4"/>
  <c r="I111" i="4"/>
  <c r="I112" i="4"/>
  <c r="I113" i="4"/>
  <c r="I114" i="4"/>
  <c r="I115" i="4"/>
  <c r="I116" i="4"/>
  <c r="I117" i="4"/>
  <c r="H117" i="4" s="1"/>
  <c r="I118" i="4"/>
  <c r="H118" i="4" s="1"/>
  <c r="I119" i="4"/>
  <c r="H119" i="4" s="1"/>
  <c r="I120" i="4"/>
  <c r="H120" i="4" s="1"/>
  <c r="I121" i="4"/>
  <c r="I122" i="4"/>
  <c r="H122" i="4" s="1"/>
  <c r="I123" i="4"/>
  <c r="I124" i="4"/>
  <c r="I125" i="4"/>
  <c r="I126" i="4"/>
  <c r="I127" i="4"/>
  <c r="I128" i="4"/>
  <c r="H128" i="4" s="1"/>
  <c r="I129" i="4"/>
  <c r="I130" i="4"/>
  <c r="I131" i="4"/>
  <c r="H131" i="4" s="1"/>
  <c r="I132" i="4"/>
  <c r="I133" i="4"/>
  <c r="I134" i="4"/>
  <c r="H134" i="4" s="1"/>
  <c r="I135" i="4"/>
  <c r="H135" i="4" s="1"/>
  <c r="I136" i="4"/>
  <c r="H136" i="4" s="1"/>
  <c r="I137" i="4"/>
  <c r="H137" i="4" s="1"/>
  <c r="I138" i="4"/>
  <c r="I139" i="4"/>
  <c r="I140" i="4"/>
  <c r="I141" i="4"/>
  <c r="I142" i="4"/>
  <c r="H142" i="4" s="1"/>
  <c r="I143" i="4"/>
  <c r="H143" i="4" s="1"/>
  <c r="I144" i="4"/>
  <c r="I145" i="4"/>
  <c r="I146" i="4"/>
  <c r="I147" i="4"/>
  <c r="I148" i="4"/>
  <c r="H148" i="4" s="1"/>
  <c r="I149" i="4"/>
  <c r="H149" i="4" s="1"/>
  <c r="I150" i="4"/>
  <c r="I151" i="4"/>
  <c r="H151" i="4" s="1"/>
  <c r="I152" i="4"/>
  <c r="H152" i="4" s="1"/>
  <c r="I153" i="4"/>
  <c r="H153" i="4" s="1"/>
  <c r="I154" i="4"/>
  <c r="I155" i="4"/>
  <c r="I156" i="4"/>
  <c r="I157" i="4"/>
  <c r="I158" i="4"/>
  <c r="H158" i="4" s="1"/>
  <c r="I159" i="4"/>
  <c r="H159" i="4" s="1"/>
  <c r="I160" i="4"/>
  <c r="H160" i="4" s="1"/>
  <c r="I161" i="4"/>
  <c r="H161" i="4" s="1"/>
  <c r="I162" i="4"/>
  <c r="I163" i="4"/>
  <c r="H163" i="4" s="1"/>
  <c r="I164" i="4"/>
  <c r="H164" i="4" s="1"/>
  <c r="I165" i="4"/>
  <c r="H165" i="4" s="1"/>
  <c r="I166" i="4"/>
  <c r="H166" i="4" s="1"/>
  <c r="I167" i="4"/>
  <c r="I168" i="4"/>
  <c r="I169" i="4"/>
  <c r="H169" i="4" s="1"/>
  <c r="I170" i="4"/>
  <c r="H170" i="4" s="1"/>
  <c r="I171" i="4"/>
  <c r="H171" i="4" s="1"/>
  <c r="I172" i="4"/>
  <c r="H172" i="4" s="1"/>
  <c r="I173" i="4"/>
  <c r="H173" i="4" s="1"/>
  <c r="I174" i="4"/>
  <c r="I175" i="4"/>
  <c r="I176" i="4"/>
  <c r="I177" i="4"/>
  <c r="H177" i="4" s="1"/>
  <c r="I178" i="4"/>
  <c r="I179" i="4"/>
  <c r="H179" i="4" s="1"/>
  <c r="I180" i="4"/>
  <c r="I181" i="4"/>
  <c r="H181" i="4" s="1"/>
  <c r="I182" i="4"/>
  <c r="I183" i="4"/>
  <c r="I184" i="4"/>
  <c r="H184" i="4" s="1"/>
  <c r="I185" i="4"/>
  <c r="H185" i="4" s="1"/>
  <c r="I186" i="4"/>
  <c r="H186" i="4" s="1"/>
  <c r="I187" i="4"/>
  <c r="I188" i="4"/>
  <c r="I189" i="4"/>
  <c r="I190" i="4"/>
  <c r="I191" i="4"/>
  <c r="I192" i="4"/>
  <c r="H192" i="4" s="1"/>
  <c r="I193" i="4"/>
  <c r="I194" i="4"/>
  <c r="H194" i="4" s="1"/>
  <c r="I195" i="4"/>
  <c r="I196" i="4"/>
  <c r="H196" i="4" s="1"/>
  <c r="I197" i="4"/>
  <c r="H197" i="4" s="1"/>
  <c r="I198" i="4"/>
  <c r="H198" i="4" s="1"/>
  <c r="I199" i="4"/>
  <c r="H199" i="4" s="1"/>
  <c r="I200" i="4"/>
  <c r="H200" i="4" s="1"/>
  <c r="I201" i="4"/>
  <c r="H201" i="4" s="1"/>
  <c r="I202" i="4"/>
  <c r="I203" i="4"/>
  <c r="H203" i="4" s="1"/>
  <c r="I204" i="4"/>
  <c r="H204" i="4" s="1"/>
  <c r="I205" i="4"/>
  <c r="I206" i="4"/>
  <c r="I207" i="4"/>
  <c r="I208" i="4"/>
  <c r="H208" i="4" s="1"/>
  <c r="I209" i="4"/>
  <c r="I210" i="4"/>
  <c r="I211" i="4"/>
  <c r="I212" i="4"/>
  <c r="I213" i="4"/>
  <c r="I214" i="4"/>
  <c r="I215" i="4"/>
  <c r="I216" i="4"/>
  <c r="I217" i="4"/>
  <c r="H217" i="4" s="1"/>
  <c r="I218" i="4"/>
  <c r="I219" i="4"/>
  <c r="I220" i="4"/>
  <c r="H220" i="4" s="1"/>
  <c r="I221" i="4"/>
  <c r="H221" i="4" s="1"/>
  <c r="I222" i="4"/>
  <c r="I223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D4" i="4"/>
  <c r="J8" i="4" s="1"/>
  <c r="J834" i="5" l="1"/>
  <c r="J826" i="5"/>
  <c r="J810" i="5"/>
  <c r="J806" i="5"/>
  <c r="J802" i="5"/>
  <c r="J798" i="5"/>
  <c r="J794" i="5"/>
  <c r="J790" i="5"/>
  <c r="J786" i="5"/>
  <c r="J782" i="5"/>
  <c r="J778" i="5"/>
  <c r="J774" i="5"/>
  <c r="J770" i="5"/>
  <c r="J766" i="5"/>
  <c r="J762" i="5"/>
  <c r="J758" i="5"/>
  <c r="J754" i="5"/>
  <c r="J750" i="5"/>
  <c r="J746" i="5"/>
  <c r="J742" i="5"/>
  <c r="J738" i="5"/>
  <c r="J734" i="5"/>
  <c r="J730" i="5"/>
  <c r="J726" i="5"/>
  <c r="J722" i="5"/>
  <c r="J718" i="5"/>
  <c r="J714" i="5"/>
  <c r="J710" i="5"/>
  <c r="J706" i="5"/>
  <c r="J702" i="5"/>
  <c r="J698" i="5"/>
  <c r="J694" i="5"/>
  <c r="J874" i="5"/>
  <c r="J870" i="5"/>
  <c r="J866" i="5"/>
  <c r="J862" i="5"/>
  <c r="J858" i="5"/>
  <c r="J854" i="5"/>
  <c r="J850" i="5"/>
  <c r="J846" i="5"/>
  <c r="J842" i="5"/>
  <c r="J838" i="5"/>
  <c r="J830" i="5"/>
  <c r="J822" i="5"/>
  <c r="J818" i="5"/>
  <c r="J814" i="5"/>
  <c r="J690" i="5"/>
  <c r="J686" i="5"/>
  <c r="J682" i="5"/>
  <c r="J678" i="5"/>
  <c r="J674" i="5"/>
  <c r="J670" i="5"/>
  <c r="J666" i="5"/>
  <c r="J662" i="5"/>
  <c r="J658" i="5"/>
  <c r="J654" i="5"/>
  <c r="J650" i="5"/>
  <c r="J646" i="5"/>
  <c r="J642" i="5"/>
  <c r="J638" i="5"/>
  <c r="J634" i="5"/>
  <c r="J630" i="5"/>
  <c r="J626" i="5"/>
  <c r="J622" i="5"/>
  <c r="J618" i="5"/>
  <c r="J614" i="5"/>
  <c r="J610" i="5"/>
  <c r="J606" i="5"/>
  <c r="J602" i="5"/>
  <c r="J598" i="5"/>
  <c r="J594" i="5"/>
  <c r="J590" i="5"/>
  <c r="J586" i="5"/>
  <c r="J582" i="5"/>
  <c r="J578" i="5"/>
  <c r="J574" i="5"/>
  <c r="J570" i="5"/>
  <c r="J566" i="5"/>
  <c r="J562" i="5"/>
  <c r="J558" i="5"/>
  <c r="J554" i="5"/>
  <c r="J550" i="5"/>
  <c r="J546" i="5"/>
  <c r="J542" i="5"/>
  <c r="J538" i="5"/>
  <c r="J534" i="5"/>
  <c r="J530" i="5"/>
  <c r="J526" i="5"/>
  <c r="J522" i="5"/>
  <c r="J518" i="5"/>
  <c r="J514" i="5"/>
  <c r="J510" i="5"/>
  <c r="J506" i="5"/>
  <c r="J502" i="5"/>
  <c r="J498" i="5"/>
  <c r="J494" i="5"/>
  <c r="J490" i="5"/>
  <c r="J486" i="5"/>
  <c r="J482" i="5"/>
  <c r="J478" i="5"/>
  <c r="J474" i="5"/>
  <c r="J470" i="5"/>
  <c r="J466" i="5"/>
  <c r="J462" i="5"/>
  <c r="J458" i="5"/>
  <c r="J454" i="5"/>
  <c r="J450" i="5"/>
  <c r="J446" i="5"/>
  <c r="J442" i="5"/>
  <c r="J438" i="5"/>
  <c r="J434" i="5"/>
  <c r="J430" i="5"/>
  <c r="J426" i="5"/>
  <c r="J422" i="5"/>
  <c r="J418" i="5"/>
  <c r="J414" i="5"/>
  <c r="J410" i="5"/>
  <c r="J406" i="5"/>
  <c r="J402" i="5"/>
  <c r="J398" i="5"/>
  <c r="J394" i="5"/>
  <c r="J390" i="5"/>
  <c r="J386" i="5"/>
  <c r="J382" i="5"/>
  <c r="J378" i="5"/>
  <c r="J374" i="5"/>
  <c r="J370" i="5"/>
  <c r="J366" i="5"/>
  <c r="J354" i="5"/>
  <c r="J350" i="5"/>
  <c r="J346" i="5"/>
  <c r="J362" i="5"/>
  <c r="J358" i="5"/>
  <c r="J342" i="5"/>
  <c r="J338" i="5"/>
  <c r="J334" i="5"/>
  <c r="J330" i="5"/>
  <c r="J326" i="5"/>
  <c r="J322" i="5"/>
  <c r="J318" i="5"/>
  <c r="J314" i="5"/>
  <c r="J310" i="5"/>
  <c r="J306" i="5"/>
  <c r="J302" i="5"/>
  <c r="J298" i="5"/>
  <c r="J294" i="5"/>
  <c r="J290" i="5"/>
  <c r="J286" i="5"/>
  <c r="J282" i="5"/>
  <c r="J278" i="5"/>
  <c r="J274" i="5"/>
  <c r="J270" i="5"/>
  <c r="J266" i="5"/>
  <c r="J262" i="5"/>
  <c r="J258" i="5"/>
  <c r="J254" i="5"/>
  <c r="J250" i="5"/>
  <c r="J246" i="5"/>
  <c r="J242" i="5"/>
  <c r="J238" i="5"/>
  <c r="J234" i="5"/>
  <c r="J230" i="5"/>
  <c r="J226" i="5"/>
  <c r="J222" i="5"/>
  <c r="J218" i="5"/>
  <c r="J214" i="5"/>
  <c r="J210" i="5"/>
  <c r="J206" i="5"/>
  <c r="J202" i="5"/>
  <c r="J198" i="5"/>
  <c r="J194" i="5"/>
  <c r="J190" i="5"/>
  <c r="J186" i="5"/>
  <c r="J182" i="5"/>
  <c r="J178" i="5"/>
  <c r="J174" i="5"/>
  <c r="J170" i="5"/>
  <c r="J166" i="5"/>
  <c r="J162" i="5"/>
  <c r="J158" i="5"/>
  <c r="J154" i="5"/>
  <c r="J150" i="5"/>
  <c r="J146" i="5"/>
  <c r="J142" i="5"/>
  <c r="J138" i="5"/>
  <c r="J134" i="5"/>
  <c r="J130" i="5"/>
  <c r="J126" i="5"/>
  <c r="J122" i="5"/>
  <c r="J118" i="5"/>
  <c r="J114" i="5"/>
  <c r="J110" i="5"/>
  <c r="J106" i="5"/>
  <c r="J102" i="5"/>
  <c r="J98" i="5"/>
  <c r="J94" i="5"/>
  <c r="J90" i="5"/>
  <c r="J86" i="5"/>
  <c r="J82" i="5"/>
  <c r="J78" i="5"/>
  <c r="J74" i="5"/>
  <c r="J70" i="5"/>
  <c r="J66" i="5"/>
  <c r="J62" i="5"/>
  <c r="J58" i="5"/>
  <c r="J54" i="5"/>
  <c r="J50" i="5"/>
  <c r="J46" i="5"/>
  <c r="J42" i="5"/>
  <c r="J38" i="5"/>
  <c r="J34" i="5"/>
  <c r="J30" i="5"/>
  <c r="J26" i="5"/>
  <c r="J22" i="5"/>
  <c r="J18" i="5"/>
  <c r="J14" i="5"/>
  <c r="J10" i="5"/>
  <c r="J6" i="5"/>
  <c r="J868" i="5"/>
  <c r="J860" i="5"/>
  <c r="J848" i="5"/>
  <c r="J840" i="5"/>
  <c r="J832" i="5"/>
  <c r="J828" i="5"/>
  <c r="J820" i="5"/>
  <c r="J812" i="5"/>
  <c r="J804" i="5"/>
  <c r="J800" i="5"/>
  <c r="J796" i="5"/>
  <c r="J792" i="5"/>
  <c r="J788" i="5"/>
  <c r="J784" i="5"/>
  <c r="J780" i="5"/>
  <c r="J776" i="5"/>
  <c r="J768" i="5"/>
  <c r="J760" i="5"/>
  <c r="J752" i="5"/>
  <c r="J744" i="5"/>
  <c r="J736" i="5"/>
  <c r="J724" i="5"/>
  <c r="J716" i="5"/>
  <c r="J708" i="5"/>
  <c r="J700" i="5"/>
  <c r="J692" i="5"/>
  <c r="J684" i="5"/>
  <c r="J672" i="5"/>
  <c r="J660" i="5"/>
  <c r="J652" i="5"/>
  <c r="J648" i="5"/>
  <c r="J644" i="5"/>
  <c r="J604" i="5"/>
  <c r="J592" i="5"/>
  <c r="J580" i="5"/>
  <c r="J552" i="5"/>
  <c r="J544" i="5"/>
  <c r="J532" i="5"/>
  <c r="J524" i="5"/>
  <c r="J520" i="5"/>
  <c r="J512" i="5"/>
  <c r="J504" i="5"/>
  <c r="J496" i="5"/>
  <c r="J488" i="5"/>
  <c r="J480" i="5"/>
  <c r="J472" i="5"/>
  <c r="J464" i="5"/>
  <c r="J456" i="5"/>
  <c r="J448" i="5"/>
  <c r="J440" i="5"/>
  <c r="J432" i="5"/>
  <c r="J424" i="5"/>
  <c r="J416" i="5"/>
  <c r="J408" i="5"/>
  <c r="J400" i="5"/>
  <c r="J388" i="5"/>
  <c r="J380" i="5"/>
  <c r="J372" i="5"/>
  <c r="J364" i="5"/>
  <c r="J356" i="5"/>
  <c r="J348" i="5"/>
  <c r="J340" i="5"/>
  <c r="J336" i="5"/>
  <c r="J328" i="5"/>
  <c r="J320" i="5"/>
  <c r="J308" i="5"/>
  <c r="J300" i="5"/>
  <c r="J292" i="5"/>
  <c r="J284" i="5"/>
  <c r="J276" i="5"/>
  <c r="J268" i="5"/>
  <c r="J260" i="5"/>
  <c r="J248" i="5"/>
  <c r="J240" i="5"/>
  <c r="J236" i="5"/>
  <c r="J228" i="5"/>
  <c r="J216" i="5"/>
  <c r="J208" i="5"/>
  <c r="J200" i="5"/>
  <c r="J192" i="5"/>
  <c r="J184" i="5"/>
  <c r="J172" i="5"/>
  <c r="J160" i="5"/>
  <c r="J68" i="5"/>
  <c r="J872" i="5"/>
  <c r="J864" i="5"/>
  <c r="J856" i="5"/>
  <c r="J852" i="5"/>
  <c r="J844" i="5"/>
  <c r="J836" i="5"/>
  <c r="J824" i="5"/>
  <c r="J816" i="5"/>
  <c r="J808" i="5"/>
  <c r="J772" i="5"/>
  <c r="J764" i="5"/>
  <c r="J756" i="5"/>
  <c r="J748" i="5"/>
  <c r="J740" i="5"/>
  <c r="J732" i="5"/>
  <c r="J728" i="5"/>
  <c r="J720" i="5"/>
  <c r="J712" i="5"/>
  <c r="J704" i="5"/>
  <c r="J696" i="5"/>
  <c r="J688" i="5"/>
  <c r="J680" i="5"/>
  <c r="J676" i="5"/>
  <c r="J668" i="5"/>
  <c r="J664" i="5"/>
  <c r="J656" i="5"/>
  <c r="J640" i="5"/>
  <c r="J636" i="5"/>
  <c r="J632" i="5"/>
  <c r="J628" i="5"/>
  <c r="J624" i="5"/>
  <c r="J620" i="5"/>
  <c r="J616" i="5"/>
  <c r="J612" i="5"/>
  <c r="J608" i="5"/>
  <c r="J600" i="5"/>
  <c r="J596" i="5"/>
  <c r="J588" i="5"/>
  <c r="J584" i="5"/>
  <c r="J576" i="5"/>
  <c r="J572" i="5"/>
  <c r="J568" i="5"/>
  <c r="J564" i="5"/>
  <c r="J560" i="5"/>
  <c r="J556" i="5"/>
  <c r="J548" i="5"/>
  <c r="J540" i="5"/>
  <c r="J536" i="5"/>
  <c r="J528" i="5"/>
  <c r="J516" i="5"/>
  <c r="J508" i="5"/>
  <c r="J500" i="5"/>
  <c r="J492" i="5"/>
  <c r="J484" i="5"/>
  <c r="J476" i="5"/>
  <c r="J468" i="5"/>
  <c r="J460" i="5"/>
  <c r="J452" i="5"/>
  <c r="J444" i="5"/>
  <c r="J436" i="5"/>
  <c r="J428" i="5"/>
  <c r="J420" i="5"/>
  <c r="J412" i="5"/>
  <c r="J404" i="5"/>
  <c r="J396" i="5"/>
  <c r="J392" i="5"/>
  <c r="J384" i="5"/>
  <c r="J376" i="5"/>
  <c r="J368" i="5"/>
  <c r="J360" i="5"/>
  <c r="J352" i="5"/>
  <c r="J344" i="5"/>
  <c r="J332" i="5"/>
  <c r="J324" i="5"/>
  <c r="J316" i="5"/>
  <c r="J312" i="5"/>
  <c r="J304" i="5"/>
  <c r="J296" i="5"/>
  <c r="J288" i="5"/>
  <c r="J280" i="5"/>
  <c r="J272" i="5"/>
  <c r="J264" i="5"/>
  <c r="J256" i="5"/>
  <c r="J252" i="5"/>
  <c r="J244" i="5"/>
  <c r="J232" i="5"/>
  <c r="J224" i="5"/>
  <c r="J220" i="5"/>
  <c r="J212" i="5"/>
  <c r="J204" i="5"/>
  <c r="J196" i="5"/>
  <c r="J188" i="5"/>
  <c r="J180" i="5"/>
  <c r="J176" i="5"/>
  <c r="J168" i="5"/>
  <c r="J164" i="5"/>
  <c r="J156" i="5"/>
  <c r="J152" i="5"/>
  <c r="J148" i="5"/>
  <c r="J144" i="5"/>
  <c r="J140" i="5"/>
  <c r="J136" i="5"/>
  <c r="J132" i="5"/>
  <c r="J128" i="5"/>
  <c r="J124" i="5"/>
  <c r="J120" i="5"/>
  <c r="J116" i="5"/>
  <c r="J112" i="5"/>
  <c r="J108" i="5"/>
  <c r="J104" i="5"/>
  <c r="J100" i="5"/>
  <c r="J96" i="5"/>
  <c r="J92" i="5"/>
  <c r="J88" i="5"/>
  <c r="J84" i="5"/>
  <c r="J80" i="5"/>
  <c r="J76" i="5"/>
  <c r="J72" i="5"/>
  <c r="J64" i="5"/>
  <c r="J60" i="5"/>
  <c r="J56" i="5"/>
  <c r="J52" i="5"/>
  <c r="J48" i="5"/>
  <c r="J44" i="5"/>
  <c r="J40" i="5"/>
  <c r="J36" i="5"/>
  <c r="J32" i="5"/>
  <c r="J28" i="5"/>
  <c r="J24" i="5"/>
  <c r="J20" i="5"/>
  <c r="J16" i="5"/>
  <c r="J12" i="5"/>
  <c r="J8" i="5"/>
  <c r="J4" i="5"/>
  <c r="J871" i="5"/>
  <c r="J867" i="5"/>
  <c r="J863" i="5"/>
  <c r="J859" i="5"/>
  <c r="J855" i="5"/>
  <c r="J851" i="5"/>
  <c r="J847" i="5"/>
  <c r="J843" i="5"/>
  <c r="J839" i="5"/>
  <c r="J835" i="5"/>
  <c r="J831" i="5"/>
  <c r="J827" i="5"/>
  <c r="J823" i="5"/>
  <c r="J819" i="5"/>
  <c r="J815" i="5"/>
  <c r="J811" i="5"/>
  <c r="J807" i="5"/>
  <c r="J803" i="5"/>
  <c r="J799" i="5"/>
  <c r="J795" i="5"/>
  <c r="J791" i="5"/>
  <c r="J787" i="5"/>
  <c r="J783" i="5"/>
  <c r="J779" i="5"/>
  <c r="J775" i="5"/>
  <c r="J771" i="5"/>
  <c r="J767" i="5"/>
  <c r="J763" i="5"/>
  <c r="J759" i="5"/>
  <c r="J755" i="5"/>
  <c r="J751" i="5"/>
  <c r="J747" i="5"/>
  <c r="J743" i="5"/>
  <c r="J739" i="5"/>
  <c r="J735" i="5"/>
  <c r="J731" i="5"/>
  <c r="J727" i="5"/>
  <c r="J723" i="5"/>
  <c r="J719" i="5"/>
  <c r="J715" i="5"/>
  <c r="J711" i="5"/>
  <c r="J707" i="5"/>
  <c r="J703" i="5"/>
  <c r="J699" i="5"/>
  <c r="J695" i="5"/>
  <c r="J691" i="5"/>
  <c r="J687" i="5"/>
  <c r="J683" i="5"/>
  <c r="J679" i="5"/>
  <c r="J675" i="5"/>
  <c r="J671" i="5"/>
  <c r="J667" i="5"/>
  <c r="J663" i="5"/>
  <c r="J659" i="5"/>
  <c r="J655" i="5"/>
  <c r="J651" i="5"/>
  <c r="J647" i="5"/>
  <c r="J643" i="5"/>
  <c r="J873" i="5"/>
  <c r="J869" i="5"/>
  <c r="J865" i="5"/>
  <c r="J861" i="5"/>
  <c r="J857" i="5"/>
  <c r="J853" i="5"/>
  <c r="J849" i="5"/>
  <c r="J845" i="5"/>
  <c r="J841" i="5"/>
  <c r="J837" i="5"/>
  <c r="J833" i="5"/>
  <c r="J829" i="5"/>
  <c r="J825" i="5"/>
  <c r="J821" i="5"/>
  <c r="J817" i="5"/>
  <c r="J813" i="5"/>
  <c r="J809" i="5"/>
  <c r="J805" i="5"/>
  <c r="J801" i="5"/>
  <c r="J797" i="5"/>
  <c r="J793" i="5"/>
  <c r="J789" i="5"/>
  <c r="J785" i="5"/>
  <c r="J781" i="5"/>
  <c r="J777" i="5"/>
  <c r="J773" i="5"/>
  <c r="J769" i="5"/>
  <c r="J765" i="5"/>
  <c r="J761" i="5"/>
  <c r="J757" i="5"/>
  <c r="J753" i="5"/>
  <c r="J749" i="5"/>
  <c r="J745" i="5"/>
  <c r="J741" i="5"/>
  <c r="J737" i="5"/>
  <c r="J733" i="5"/>
  <c r="J729" i="5"/>
  <c r="J725" i="5"/>
  <c r="J721" i="5"/>
  <c r="J717" i="5"/>
  <c r="J713" i="5"/>
  <c r="J709" i="5"/>
  <c r="J705" i="5"/>
  <c r="J701" i="5"/>
  <c r="J697" i="5"/>
  <c r="J693" i="5"/>
  <c r="J689" i="5"/>
  <c r="J685" i="5"/>
  <c r="J681" i="5"/>
  <c r="J677" i="5"/>
  <c r="J673" i="5"/>
  <c r="J669" i="5"/>
  <c r="J665" i="5"/>
  <c r="J661" i="5"/>
  <c r="J657" i="5"/>
  <c r="J653" i="5"/>
  <c r="J649" i="5"/>
  <c r="J645" i="5"/>
  <c r="J641" i="5"/>
  <c r="J637" i="5"/>
  <c r="J633" i="5"/>
  <c r="J629" i="5"/>
  <c r="J625" i="5"/>
  <c r="J621" i="5"/>
  <c r="J617" i="5"/>
  <c r="J613" i="5"/>
  <c r="J609" i="5"/>
  <c r="J605" i="5"/>
  <c r="J601" i="5"/>
  <c r="J597" i="5"/>
  <c r="J593" i="5"/>
  <c r="J589" i="5"/>
  <c r="J585" i="5"/>
  <c r="J581" i="5"/>
  <c r="J577" i="5"/>
  <c r="J573" i="5"/>
  <c r="J569" i="5"/>
  <c r="J565" i="5"/>
  <c r="J561" i="5"/>
  <c r="J557" i="5"/>
  <c r="J553" i="5"/>
  <c r="J549" i="5"/>
  <c r="J545" i="5"/>
  <c r="J541" i="5"/>
  <c r="J537" i="5"/>
  <c r="J533" i="5"/>
  <c r="J529" i="5"/>
  <c r="J525" i="5"/>
  <c r="J521" i="5"/>
  <c r="J517" i="5"/>
  <c r="J513" i="5"/>
  <c r="J509" i="5"/>
  <c r="J505" i="5"/>
  <c r="J501" i="5"/>
  <c r="J497" i="5"/>
  <c r="J493" i="5"/>
  <c r="K493" i="5" s="1" a="1"/>
  <c r="K493" i="5" s="1"/>
  <c r="J489" i="5"/>
  <c r="K489" i="5" s="1" a="1"/>
  <c r="K489" i="5" s="1"/>
  <c r="J485" i="5"/>
  <c r="J481" i="5"/>
  <c r="J477" i="5"/>
  <c r="J473" i="5"/>
  <c r="J469" i="5"/>
  <c r="J465" i="5"/>
  <c r="J461" i="5"/>
  <c r="J457" i="5"/>
  <c r="J453" i="5"/>
  <c r="J449" i="5"/>
  <c r="J445" i="5"/>
  <c r="J441" i="5"/>
  <c r="J437" i="5"/>
  <c r="J433" i="5"/>
  <c r="J429" i="5"/>
  <c r="J425" i="5"/>
  <c r="J421" i="5"/>
  <c r="K421" i="5" s="1" a="1"/>
  <c r="K421" i="5" s="1"/>
  <c r="J417" i="5"/>
  <c r="J413" i="5"/>
  <c r="J409" i="5"/>
  <c r="J405" i="5"/>
  <c r="J401" i="5"/>
  <c r="J397" i="5"/>
  <c r="K397" i="5" s="1" a="1"/>
  <c r="K397" i="5" s="1"/>
  <c r="J393" i="5"/>
  <c r="J389" i="5"/>
  <c r="K389" i="5" s="1" a="1"/>
  <c r="K389" i="5" s="1"/>
  <c r="J385" i="5"/>
  <c r="J381" i="5"/>
  <c r="J377" i="5"/>
  <c r="J373" i="5"/>
  <c r="K373" i="5" s="1" a="1"/>
  <c r="K373" i="5" s="1"/>
  <c r="J369" i="5"/>
  <c r="J365" i="5"/>
  <c r="J361" i="5"/>
  <c r="J357" i="5"/>
  <c r="K357" i="5" s="1" a="1"/>
  <c r="K357" i="5" s="1"/>
  <c r="J353" i="5"/>
  <c r="J349" i="5"/>
  <c r="J345" i="5"/>
  <c r="K345" i="5" s="1" a="1"/>
  <c r="K345" i="5" s="1"/>
  <c r="J341" i="5"/>
  <c r="J337" i="5"/>
  <c r="J333" i="5"/>
  <c r="J329" i="5"/>
  <c r="J325" i="5"/>
  <c r="J321" i="5"/>
  <c r="J317" i="5"/>
  <c r="K317" i="5" s="1" a="1"/>
  <c r="K317" i="5" s="1"/>
  <c r="J313" i="5"/>
  <c r="J309" i="5"/>
  <c r="K309" i="5" s="1" a="1"/>
  <c r="K309" i="5" s="1"/>
  <c r="J305" i="5"/>
  <c r="J301" i="5"/>
  <c r="J297" i="5"/>
  <c r="J293" i="5"/>
  <c r="K293" i="5" s="1" a="1"/>
  <c r="K293" i="5" s="1"/>
  <c r="J289" i="5"/>
  <c r="J285" i="5"/>
  <c r="K285" i="5" s="1" a="1"/>
  <c r="K285" i="5" s="1"/>
  <c r="J281" i="5"/>
  <c r="K281" i="5" s="1" a="1"/>
  <c r="K281" i="5" s="1"/>
  <c r="J277" i="5"/>
  <c r="K277" i="5" s="1" a="1"/>
  <c r="K277" i="5" s="1"/>
  <c r="J273" i="5"/>
  <c r="J269" i="5"/>
  <c r="J265" i="5"/>
  <c r="K265" i="5" s="1" a="1"/>
  <c r="K265" i="5" s="1"/>
  <c r="J261" i="5"/>
  <c r="K261" i="5" s="1" a="1"/>
  <c r="K261" i="5" s="1"/>
  <c r="J257" i="5"/>
  <c r="J253" i="5"/>
  <c r="K253" i="5" s="1" a="1"/>
  <c r="K253" i="5" s="1"/>
  <c r="J249" i="5"/>
  <c r="J245" i="5"/>
  <c r="K245" i="5" s="1" a="1"/>
  <c r="K245" i="5" s="1"/>
  <c r="J241" i="5"/>
  <c r="J237" i="5"/>
  <c r="J233" i="5"/>
  <c r="K233" i="5" s="1" a="1"/>
  <c r="K233" i="5" s="1"/>
  <c r="J229" i="5"/>
  <c r="K229" i="5" s="1" a="1"/>
  <c r="K229" i="5" s="1"/>
  <c r="J225" i="5"/>
  <c r="J221" i="5"/>
  <c r="J217" i="5"/>
  <c r="J213" i="5"/>
  <c r="J209" i="5"/>
  <c r="J205" i="5"/>
  <c r="K205" i="5" s="1" a="1"/>
  <c r="K205" i="5" s="1"/>
  <c r="J201" i="5"/>
  <c r="J197" i="5"/>
  <c r="K197" i="5" s="1" a="1"/>
  <c r="K197" i="5" s="1"/>
  <c r="J193" i="5"/>
  <c r="J189" i="5"/>
  <c r="K189" i="5" s="1" a="1"/>
  <c r="K189" i="5" s="1"/>
  <c r="J185" i="5"/>
  <c r="K185" i="5" s="1" a="1"/>
  <c r="K185" i="5" s="1"/>
  <c r="J181" i="5"/>
  <c r="K181" i="5" s="1" a="1"/>
  <c r="K181" i="5" s="1"/>
  <c r="J177" i="5"/>
  <c r="J173" i="5"/>
  <c r="J169" i="5"/>
  <c r="J165" i="5"/>
  <c r="J161" i="5"/>
  <c r="J157" i="5"/>
  <c r="J153" i="5"/>
  <c r="J149" i="5"/>
  <c r="J145" i="5"/>
  <c r="J141" i="5"/>
  <c r="J137" i="5"/>
  <c r="J133" i="5"/>
  <c r="J129" i="5"/>
  <c r="J125" i="5"/>
  <c r="J121" i="5"/>
  <c r="J117" i="5"/>
  <c r="J113" i="5"/>
  <c r="J109" i="5"/>
  <c r="J105" i="5"/>
  <c r="J101" i="5"/>
  <c r="J97" i="5"/>
  <c r="J93" i="5"/>
  <c r="J89" i="5"/>
  <c r="J85" i="5"/>
  <c r="J81" i="5"/>
  <c r="J77" i="5"/>
  <c r="J73" i="5"/>
  <c r="J69" i="5"/>
  <c r="J65" i="5"/>
  <c r="J61" i="5"/>
  <c r="J57" i="5"/>
  <c r="J53" i="5"/>
  <c r="J49" i="5"/>
  <c r="J45" i="5"/>
  <c r="J41" i="5"/>
  <c r="J37" i="5"/>
  <c r="J33" i="5"/>
  <c r="J29" i="5"/>
  <c r="J25" i="5"/>
  <c r="J21" i="5"/>
  <c r="J17" i="5"/>
  <c r="J13" i="5"/>
  <c r="J9" i="5"/>
  <c r="J5" i="5"/>
  <c r="K673" i="5" a="1"/>
  <c r="K673" i="5" s="1"/>
  <c r="K669" i="5" a="1"/>
  <c r="K669" i="5" s="1"/>
  <c r="K665" i="5" a="1"/>
  <c r="K665" i="5" s="1"/>
  <c r="K661" i="5" a="1"/>
  <c r="K661" i="5" s="1"/>
  <c r="K657" i="5" a="1"/>
  <c r="K657" i="5" s="1"/>
  <c r="K653" i="5" a="1"/>
  <c r="K653" i="5" s="1"/>
  <c r="K649" i="5" a="1"/>
  <c r="K649" i="5" s="1"/>
  <c r="K617" i="5" a="1"/>
  <c r="K617" i="5" s="1"/>
  <c r="K545" i="5" a="1"/>
  <c r="K545" i="5" s="1"/>
  <c r="K541" i="5" a="1"/>
  <c r="K541" i="5" s="1"/>
  <c r="K537" i="5" a="1"/>
  <c r="K537" i="5" s="1"/>
  <c r="K533" i="5" a="1"/>
  <c r="K533" i="5" s="1"/>
  <c r="K477" i="5" a="1"/>
  <c r="K477" i="5" s="1"/>
  <c r="K473" i="5" a="1"/>
  <c r="K473" i="5" s="1"/>
  <c r="K449" i="5" a="1"/>
  <c r="K449" i="5" s="1"/>
  <c r="K445" i="5" a="1"/>
  <c r="K445" i="5" s="1"/>
  <c r="K441" i="5" a="1"/>
  <c r="K441" i="5" s="1"/>
  <c r="K437" i="5" a="1"/>
  <c r="K437" i="5" s="1"/>
  <c r="K417" i="5" a="1"/>
  <c r="K417" i="5" s="1"/>
  <c r="K413" i="5" a="1"/>
  <c r="K413" i="5" s="1"/>
  <c r="K409" i="5" a="1"/>
  <c r="K409" i="5" s="1"/>
  <c r="K401" i="5" a="1"/>
  <c r="K401" i="5" s="1"/>
  <c r="K385" i="5" a="1"/>
  <c r="K385" i="5" s="1"/>
  <c r="K381" i="5" a="1"/>
  <c r="K381" i="5" s="1"/>
  <c r="K377" i="5" a="1"/>
  <c r="K377" i="5" s="1"/>
  <c r="K369" i="5" a="1"/>
  <c r="K369" i="5" s="1"/>
  <c r="K365" i="5" a="1"/>
  <c r="K365" i="5" s="1"/>
  <c r="K353" i="5" a="1"/>
  <c r="K353" i="5" s="1"/>
  <c r="K349" i="5" a="1"/>
  <c r="K349" i="5" s="1"/>
  <c r="K337" i="5" a="1"/>
  <c r="K337" i="5" s="1"/>
  <c r="K333" i="5" a="1"/>
  <c r="K333" i="5" s="1"/>
  <c r="K329" i="5" a="1"/>
  <c r="K329" i="5" s="1"/>
  <c r="K305" i="5" a="1"/>
  <c r="K305" i="5" s="1"/>
  <c r="K289" i="5" a="1"/>
  <c r="K289" i="5" s="1"/>
  <c r="K273" i="5" a="1"/>
  <c r="K273" i="5" s="1"/>
  <c r="K257" i="5" a="1"/>
  <c r="K257" i="5" s="1"/>
  <c r="K241" i="5" a="1"/>
  <c r="K241" i="5" s="1"/>
  <c r="K237" i="5" a="1"/>
  <c r="K237" i="5" s="1"/>
  <c r="K225" i="5" a="1"/>
  <c r="K225" i="5" s="1"/>
  <c r="K209" i="5" a="1"/>
  <c r="K209" i="5" s="1"/>
  <c r="K201" i="5" a="1"/>
  <c r="K201" i="5" s="1"/>
  <c r="K193" i="5" a="1"/>
  <c r="K193" i="5" s="1"/>
  <c r="J639" i="5"/>
  <c r="J635" i="5"/>
  <c r="J631" i="5"/>
  <c r="J627" i="5"/>
  <c r="J623" i="5"/>
  <c r="J619" i="5"/>
  <c r="J615" i="5"/>
  <c r="J611" i="5"/>
  <c r="J607" i="5"/>
  <c r="J603" i="5"/>
  <c r="J599" i="5"/>
  <c r="J595" i="5"/>
  <c r="J591" i="5"/>
  <c r="J587" i="5"/>
  <c r="J583" i="5"/>
  <c r="J579" i="5"/>
  <c r="J575" i="5"/>
  <c r="J571" i="5"/>
  <c r="J567" i="5"/>
  <c r="J563" i="5"/>
  <c r="J559" i="5"/>
  <c r="J555" i="5"/>
  <c r="J551" i="5"/>
  <c r="J547" i="5"/>
  <c r="J543" i="5"/>
  <c r="J539" i="5"/>
  <c r="J535" i="5"/>
  <c r="J531" i="5"/>
  <c r="J527" i="5"/>
  <c r="J523" i="5"/>
  <c r="J519" i="5"/>
  <c r="J515" i="5"/>
  <c r="J511" i="5"/>
  <c r="J507" i="5"/>
  <c r="J503" i="5"/>
  <c r="J499" i="5"/>
  <c r="J495" i="5"/>
  <c r="J491" i="5"/>
  <c r="J487" i="5"/>
  <c r="J483" i="5"/>
  <c r="J479" i="5"/>
  <c r="J475" i="5"/>
  <c r="J471" i="5"/>
  <c r="J467" i="5"/>
  <c r="J463" i="5"/>
  <c r="J459" i="5"/>
  <c r="J455" i="5"/>
  <c r="J451" i="5"/>
  <c r="J447" i="5"/>
  <c r="J443" i="5"/>
  <c r="J439" i="5"/>
  <c r="J435" i="5"/>
  <c r="J431" i="5"/>
  <c r="J427" i="5"/>
  <c r="J423" i="5"/>
  <c r="J419" i="5"/>
  <c r="J415" i="5"/>
  <c r="J411" i="5"/>
  <c r="J407" i="5"/>
  <c r="J403" i="5"/>
  <c r="J399" i="5"/>
  <c r="J395" i="5"/>
  <c r="J391" i="5"/>
  <c r="J387" i="5"/>
  <c r="J383" i="5"/>
  <c r="J379" i="5"/>
  <c r="J375" i="5"/>
  <c r="J371" i="5"/>
  <c r="J367" i="5"/>
  <c r="J363" i="5"/>
  <c r="J359" i="5"/>
  <c r="J355" i="5"/>
  <c r="J351" i="5"/>
  <c r="J347" i="5"/>
  <c r="J343" i="5"/>
  <c r="J339" i="5"/>
  <c r="J335" i="5"/>
  <c r="J331" i="5"/>
  <c r="J327" i="5"/>
  <c r="J323" i="5"/>
  <c r="J319" i="5"/>
  <c r="J315" i="5"/>
  <c r="J311" i="5"/>
  <c r="J307" i="5"/>
  <c r="J303" i="5"/>
  <c r="J299" i="5"/>
  <c r="J295" i="5"/>
  <c r="J291" i="5"/>
  <c r="J287" i="5"/>
  <c r="J283" i="5"/>
  <c r="J279" i="5"/>
  <c r="J275" i="5"/>
  <c r="J271" i="5"/>
  <c r="J267" i="5"/>
  <c r="J263" i="5"/>
  <c r="J259" i="5"/>
  <c r="J255" i="5"/>
  <c r="J251" i="5"/>
  <c r="J247" i="5"/>
  <c r="J243" i="5"/>
  <c r="J239" i="5"/>
  <c r="J235" i="5"/>
  <c r="J231" i="5"/>
  <c r="J227" i="5"/>
  <c r="J223" i="5"/>
  <c r="J219" i="5"/>
  <c r="J215" i="5"/>
  <c r="J211" i="5"/>
  <c r="J207" i="5"/>
  <c r="J203" i="5"/>
  <c r="J199" i="5"/>
  <c r="J195" i="5"/>
  <c r="J191" i="5"/>
  <c r="J187" i="5"/>
  <c r="J183" i="5"/>
  <c r="J179" i="5"/>
  <c r="J175" i="5"/>
  <c r="J171" i="5"/>
  <c r="J167" i="5"/>
  <c r="J163" i="5"/>
  <c r="J159" i="5"/>
  <c r="J155" i="5"/>
  <c r="J151" i="5"/>
  <c r="J147" i="5"/>
  <c r="J143" i="5"/>
  <c r="J139" i="5"/>
  <c r="J135" i="5"/>
  <c r="J131" i="5"/>
  <c r="J127" i="5"/>
  <c r="J123" i="5"/>
  <c r="J119" i="5"/>
  <c r="J115" i="5"/>
  <c r="J111" i="5"/>
  <c r="J107" i="5"/>
  <c r="J103" i="5"/>
  <c r="J99" i="5"/>
  <c r="J95" i="5"/>
  <c r="J91" i="5"/>
  <c r="J87" i="5"/>
  <c r="J83" i="5"/>
  <c r="J79" i="5"/>
  <c r="J75" i="5"/>
  <c r="J71" i="5"/>
  <c r="J67" i="5"/>
  <c r="J63" i="5"/>
  <c r="J59" i="5"/>
  <c r="J55" i="5"/>
  <c r="J51" i="5"/>
  <c r="J47" i="5"/>
  <c r="J43" i="5"/>
  <c r="J39" i="5"/>
  <c r="J35" i="5"/>
  <c r="J31" i="5"/>
  <c r="J27" i="5"/>
  <c r="J23" i="5"/>
  <c r="J19" i="5"/>
  <c r="J15" i="5"/>
  <c r="J11" i="5"/>
  <c r="J7" i="5"/>
  <c r="J3" i="5"/>
  <c r="K870" i="5" s="1" a="1"/>
  <c r="K870" i="5" s="1"/>
  <c r="K860" i="5" a="1"/>
  <c r="K860" i="5" s="1"/>
  <c r="K844" i="5" a="1"/>
  <c r="K844" i="5" s="1"/>
  <c r="K832" i="5" a="1"/>
  <c r="K832" i="5" s="1"/>
  <c r="K828" i="5" a="1"/>
  <c r="K828" i="5" s="1"/>
  <c r="K820" i="5" a="1"/>
  <c r="K820" i="5" s="1"/>
  <c r="K816" i="5" a="1"/>
  <c r="K816" i="5" s="1"/>
  <c r="K812" i="5" a="1"/>
  <c r="K812" i="5" s="1"/>
  <c r="K808" i="5" a="1"/>
  <c r="K808" i="5" s="1"/>
  <c r="K804" i="5" a="1"/>
  <c r="K804" i="5" s="1"/>
  <c r="K800" i="5" a="1"/>
  <c r="K800" i="5" s="1"/>
  <c r="K796" i="5" a="1"/>
  <c r="K796" i="5" s="1"/>
  <c r="K792" i="5" a="1"/>
  <c r="K792" i="5" s="1"/>
  <c r="K788" i="5" a="1"/>
  <c r="K788" i="5" s="1"/>
  <c r="K784" i="5" a="1"/>
  <c r="K784" i="5" s="1"/>
  <c r="K780" i="5" a="1"/>
  <c r="K780" i="5" s="1"/>
  <c r="K776" i="5" a="1"/>
  <c r="K776" i="5" s="1"/>
  <c r="K772" i="5" a="1"/>
  <c r="K772" i="5" s="1"/>
  <c r="K768" i="5" a="1"/>
  <c r="K768" i="5" s="1"/>
  <c r="K764" i="5" a="1"/>
  <c r="K764" i="5" s="1"/>
  <c r="K760" i="5" a="1"/>
  <c r="K760" i="5" s="1"/>
  <c r="K756" i="5" a="1"/>
  <c r="K756" i="5" s="1"/>
  <c r="K752" i="5" a="1"/>
  <c r="K752" i="5" s="1"/>
  <c r="K748" i="5" a="1"/>
  <c r="K748" i="5" s="1"/>
  <c r="K744" i="5" a="1"/>
  <c r="K744" i="5" s="1"/>
  <c r="K740" i="5" a="1"/>
  <c r="K740" i="5" s="1"/>
  <c r="K736" i="5" a="1"/>
  <c r="K736" i="5" s="1"/>
  <c r="K732" i="5" a="1"/>
  <c r="K732" i="5" s="1"/>
  <c r="K728" i="5" a="1"/>
  <c r="K728" i="5" s="1"/>
  <c r="K724" i="5" a="1"/>
  <c r="K724" i="5" s="1"/>
  <c r="K720" i="5" a="1"/>
  <c r="K720" i="5" s="1"/>
  <c r="K716" i="5" a="1"/>
  <c r="K716" i="5" s="1"/>
  <c r="K712" i="5" a="1"/>
  <c r="K712" i="5" s="1"/>
  <c r="K708" i="5" a="1"/>
  <c r="K708" i="5" s="1"/>
  <c r="K704" i="5" a="1"/>
  <c r="K704" i="5" s="1"/>
  <c r="K700" i="5" a="1"/>
  <c r="K700" i="5" s="1"/>
  <c r="K696" i="5" a="1"/>
  <c r="K696" i="5" s="1"/>
  <c r="K692" i="5" a="1"/>
  <c r="K692" i="5" s="1"/>
  <c r="K688" i="5" a="1"/>
  <c r="K688" i="5" s="1"/>
  <c r="K684" i="5" a="1"/>
  <c r="K684" i="5" s="1"/>
  <c r="K680" i="5" a="1"/>
  <c r="K680" i="5" s="1"/>
  <c r="K676" i="5" a="1"/>
  <c r="K676" i="5" s="1"/>
  <c r="K672" i="5" a="1"/>
  <c r="K672" i="5" s="1"/>
  <c r="K668" i="5" a="1"/>
  <c r="K668" i="5" s="1"/>
  <c r="K664" i="5" a="1"/>
  <c r="K664" i="5" s="1"/>
  <c r="K660" i="5" a="1"/>
  <c r="K660" i="5" s="1"/>
  <c r="K656" i="5" a="1"/>
  <c r="K656" i="5" s="1"/>
  <c r="K652" i="5" a="1"/>
  <c r="K652" i="5" s="1"/>
  <c r="K648" i="5" a="1"/>
  <c r="K648" i="5" s="1"/>
  <c r="K644" i="5" a="1"/>
  <c r="K644" i="5" s="1"/>
  <c r="K640" i="5" a="1"/>
  <c r="K640" i="5" s="1"/>
  <c r="K636" i="5" a="1"/>
  <c r="K636" i="5" s="1"/>
  <c r="K632" i="5" a="1"/>
  <c r="K632" i="5" s="1"/>
  <c r="K628" i="5" a="1"/>
  <c r="K628" i="5" s="1"/>
  <c r="K624" i="5" a="1"/>
  <c r="K624" i="5" s="1"/>
  <c r="K620" i="5" a="1"/>
  <c r="K620" i="5" s="1"/>
  <c r="K616" i="5" a="1"/>
  <c r="K616" i="5" s="1"/>
  <c r="K612" i="5" a="1"/>
  <c r="K612" i="5" s="1"/>
  <c r="K608" i="5" a="1"/>
  <c r="K608" i="5" s="1"/>
  <c r="K604" i="5" a="1"/>
  <c r="K604" i="5" s="1"/>
  <c r="K600" i="5" a="1"/>
  <c r="K600" i="5" s="1"/>
  <c r="K596" i="5" a="1"/>
  <c r="K596" i="5" s="1"/>
  <c r="K592" i="5" a="1"/>
  <c r="K592" i="5" s="1"/>
  <c r="K588" i="5" a="1"/>
  <c r="K588" i="5" s="1"/>
  <c r="K584" i="5" a="1"/>
  <c r="K584" i="5" s="1"/>
  <c r="K580" i="5" a="1"/>
  <c r="K580" i="5" s="1"/>
  <c r="K576" i="5" a="1"/>
  <c r="K576" i="5" s="1"/>
  <c r="K572" i="5" a="1"/>
  <c r="K572" i="5" s="1"/>
  <c r="K568" i="5" a="1"/>
  <c r="K568" i="5" s="1"/>
  <c r="K564" i="5" a="1"/>
  <c r="K564" i="5" s="1"/>
  <c r="K560" i="5" a="1"/>
  <c r="K560" i="5" s="1"/>
  <c r="K556" i="5" a="1"/>
  <c r="K556" i="5" s="1"/>
  <c r="K552" i="5" a="1"/>
  <c r="K552" i="5" s="1"/>
  <c r="K548" i="5" a="1"/>
  <c r="K548" i="5" s="1"/>
  <c r="K544" i="5" a="1"/>
  <c r="K544" i="5" s="1"/>
  <c r="K540" i="5" a="1"/>
  <c r="K540" i="5" s="1"/>
  <c r="K536" i="5" a="1"/>
  <c r="K536" i="5" s="1"/>
  <c r="K532" i="5" a="1"/>
  <c r="K532" i="5" s="1"/>
  <c r="K528" i="5" a="1"/>
  <c r="K528" i="5" s="1"/>
  <c r="K524" i="5" a="1"/>
  <c r="K524" i="5" s="1"/>
  <c r="K520" i="5" a="1"/>
  <c r="K520" i="5" s="1"/>
  <c r="K516" i="5" a="1"/>
  <c r="K516" i="5" s="1"/>
  <c r="K512" i="5" a="1"/>
  <c r="K512" i="5" s="1"/>
  <c r="K508" i="5" a="1"/>
  <c r="K508" i="5" s="1"/>
  <c r="K504" i="5" a="1"/>
  <c r="K504" i="5" s="1"/>
  <c r="K500" i="5" a="1"/>
  <c r="K500" i="5" s="1"/>
  <c r="K496" i="5" a="1"/>
  <c r="K496" i="5" s="1"/>
  <c r="K492" i="5" a="1"/>
  <c r="K492" i="5" s="1"/>
  <c r="K488" i="5" a="1"/>
  <c r="K488" i="5" s="1"/>
  <c r="K484" i="5" a="1"/>
  <c r="K484" i="5" s="1"/>
  <c r="K480" i="5" a="1"/>
  <c r="K480" i="5" s="1"/>
  <c r="K476" i="5" a="1"/>
  <c r="K476" i="5" s="1"/>
  <c r="K472" i="5" a="1"/>
  <c r="K472" i="5" s="1"/>
  <c r="K468" i="5" a="1"/>
  <c r="K468" i="5" s="1"/>
  <c r="K464" i="5" a="1"/>
  <c r="K464" i="5" s="1"/>
  <c r="K460" i="5" a="1"/>
  <c r="K460" i="5" s="1"/>
  <c r="K456" i="5" a="1"/>
  <c r="K456" i="5" s="1"/>
  <c r="K452" i="5" a="1"/>
  <c r="K452" i="5" s="1"/>
  <c r="K448" i="5" a="1"/>
  <c r="K448" i="5" s="1"/>
  <c r="K444" i="5" a="1"/>
  <c r="K444" i="5" s="1"/>
  <c r="K440" i="5" a="1"/>
  <c r="K440" i="5" s="1"/>
  <c r="K436" i="5" a="1"/>
  <c r="K436" i="5" s="1"/>
  <c r="K432" i="5" a="1"/>
  <c r="K432" i="5" s="1"/>
  <c r="K428" i="5" a="1"/>
  <c r="K428" i="5" s="1"/>
  <c r="K424" i="5" a="1"/>
  <c r="K424" i="5" s="1"/>
  <c r="K420" i="5" a="1"/>
  <c r="K420" i="5" s="1"/>
  <c r="K416" i="5" a="1"/>
  <c r="K416" i="5" s="1"/>
  <c r="K412" i="5" a="1"/>
  <c r="K412" i="5" s="1"/>
  <c r="K408" i="5" a="1"/>
  <c r="K408" i="5" s="1"/>
  <c r="K404" i="5" a="1"/>
  <c r="K404" i="5" s="1"/>
  <c r="K400" i="5" a="1"/>
  <c r="K400" i="5" s="1"/>
  <c r="K396" i="5" a="1"/>
  <c r="K396" i="5" s="1"/>
  <c r="K392" i="5" a="1"/>
  <c r="K392" i="5" s="1"/>
  <c r="K388" i="5" a="1"/>
  <c r="K388" i="5" s="1"/>
  <c r="K384" i="5" a="1"/>
  <c r="K384" i="5" s="1"/>
  <c r="K380" i="5" a="1"/>
  <c r="K380" i="5" s="1"/>
  <c r="K376" i="5" a="1"/>
  <c r="K376" i="5" s="1"/>
  <c r="K372" i="5" a="1"/>
  <c r="K372" i="5" s="1"/>
  <c r="K368" i="5" a="1"/>
  <c r="K368" i="5" s="1"/>
  <c r="K364" i="5" a="1"/>
  <c r="K364" i="5" s="1"/>
  <c r="K360" i="5" a="1"/>
  <c r="K360" i="5" s="1"/>
  <c r="K356" i="5" a="1"/>
  <c r="K356" i="5" s="1"/>
  <c r="K352" i="5" a="1"/>
  <c r="K352" i="5" s="1"/>
  <c r="K348" i="5" a="1"/>
  <c r="K348" i="5" s="1"/>
  <c r="K344" i="5" a="1"/>
  <c r="K344" i="5" s="1"/>
  <c r="K340" i="5" a="1"/>
  <c r="K340" i="5" s="1"/>
  <c r="K336" i="5" a="1"/>
  <c r="K336" i="5" s="1"/>
  <c r="K332" i="5" a="1"/>
  <c r="K332" i="5" s="1"/>
  <c r="K328" i="5" a="1"/>
  <c r="K328" i="5" s="1"/>
  <c r="K324" i="5" a="1"/>
  <c r="K324" i="5" s="1"/>
  <c r="K320" i="5" a="1"/>
  <c r="K320" i="5" s="1"/>
  <c r="K316" i="5" a="1"/>
  <c r="K316" i="5" s="1"/>
  <c r="K312" i="5" a="1"/>
  <c r="K312" i="5" s="1"/>
  <c r="K308" i="5" a="1"/>
  <c r="K308" i="5" s="1"/>
  <c r="K304" i="5" a="1"/>
  <c r="K304" i="5" s="1"/>
  <c r="K300" i="5" a="1"/>
  <c r="K300" i="5" s="1"/>
  <c r="K296" i="5" a="1"/>
  <c r="K296" i="5" s="1"/>
  <c r="K292" i="5" a="1"/>
  <c r="K292" i="5" s="1"/>
  <c r="K288" i="5" a="1"/>
  <c r="K288" i="5" s="1"/>
  <c r="K284" i="5" a="1"/>
  <c r="K284" i="5" s="1"/>
  <c r="K280" i="5" a="1"/>
  <c r="K280" i="5" s="1"/>
  <c r="K276" i="5" a="1"/>
  <c r="K276" i="5" s="1"/>
  <c r="K272" i="5" a="1"/>
  <c r="K272" i="5" s="1"/>
  <c r="K268" i="5" a="1"/>
  <c r="K268" i="5" s="1"/>
  <c r="K264" i="5" a="1"/>
  <c r="K264" i="5" s="1"/>
  <c r="K260" i="5" a="1"/>
  <c r="K260" i="5" s="1"/>
  <c r="K256" i="5" a="1"/>
  <c r="K256" i="5" s="1"/>
  <c r="K252" i="5" a="1"/>
  <c r="K252" i="5" s="1"/>
  <c r="K248" i="5" a="1"/>
  <c r="K248" i="5" s="1"/>
  <c r="K244" i="5" a="1"/>
  <c r="K244" i="5" s="1"/>
  <c r="K240" i="5" a="1"/>
  <c r="K240" i="5" s="1"/>
  <c r="K236" i="5" a="1"/>
  <c r="K236" i="5" s="1"/>
  <c r="K232" i="5" a="1"/>
  <c r="K232" i="5" s="1"/>
  <c r="K228" i="5" a="1"/>
  <c r="K228" i="5" s="1"/>
  <c r="K224" i="5" a="1"/>
  <c r="K224" i="5" s="1"/>
  <c r="K220" i="5" a="1"/>
  <c r="K220" i="5" s="1"/>
  <c r="K216" i="5" a="1"/>
  <c r="K216" i="5" s="1"/>
  <c r="K212" i="5" a="1"/>
  <c r="K212" i="5" s="1"/>
  <c r="K208" i="5" a="1"/>
  <c r="K208" i="5" s="1"/>
  <c r="K204" i="5" a="1"/>
  <c r="K204" i="5" s="1"/>
  <c r="K200" i="5" a="1"/>
  <c r="K200" i="5" s="1"/>
  <c r="K196" i="5" a="1"/>
  <c r="K196" i="5" s="1"/>
  <c r="K192" i="5" a="1"/>
  <c r="K192" i="5" s="1"/>
  <c r="K188" i="5" a="1"/>
  <c r="K188" i="5" s="1"/>
  <c r="K184" i="5" a="1"/>
  <c r="K184" i="5" s="1"/>
  <c r="K180" i="5" a="1"/>
  <c r="K180" i="5" s="1"/>
  <c r="K176" i="5" a="1"/>
  <c r="K176" i="5" s="1"/>
  <c r="K172" i="5" a="1"/>
  <c r="K172" i="5" s="1"/>
  <c r="K168" i="5" a="1"/>
  <c r="K168" i="5" s="1"/>
  <c r="K164" i="5" a="1"/>
  <c r="K164" i="5" s="1"/>
  <c r="K160" i="5" a="1"/>
  <c r="K160" i="5" s="1"/>
  <c r="K156" i="5" a="1"/>
  <c r="K156" i="5" s="1"/>
  <c r="K152" i="5" a="1"/>
  <c r="K152" i="5" s="1"/>
  <c r="K847" i="5" a="1"/>
  <c r="K847" i="5" s="1"/>
  <c r="K843" i="5" a="1"/>
  <c r="K843" i="5" s="1"/>
  <c r="K839" i="5" a="1"/>
  <c r="K839" i="5" s="1"/>
  <c r="K835" i="5" a="1"/>
  <c r="K835" i="5" s="1"/>
  <c r="K831" i="5" a="1"/>
  <c r="K831" i="5" s="1"/>
  <c r="K827" i="5" a="1"/>
  <c r="K827" i="5" s="1"/>
  <c r="K823" i="5" a="1"/>
  <c r="K823" i="5" s="1"/>
  <c r="K819" i="5" a="1"/>
  <c r="K819" i="5" s="1"/>
  <c r="K815" i="5" a="1"/>
  <c r="K815" i="5" s="1"/>
  <c r="K811" i="5" a="1"/>
  <c r="K811" i="5" s="1"/>
  <c r="K807" i="5" a="1"/>
  <c r="K807" i="5" s="1"/>
  <c r="K803" i="5" a="1"/>
  <c r="K803" i="5" s="1"/>
  <c r="K799" i="5" a="1"/>
  <c r="K799" i="5" s="1"/>
  <c r="K795" i="5" a="1"/>
  <c r="K795" i="5" s="1"/>
  <c r="K791" i="5" a="1"/>
  <c r="K791" i="5" s="1"/>
  <c r="K787" i="5" a="1"/>
  <c r="K787" i="5" s="1"/>
  <c r="K783" i="5" a="1"/>
  <c r="K783" i="5" s="1"/>
  <c r="K779" i="5" a="1"/>
  <c r="K779" i="5" s="1"/>
  <c r="K775" i="5" a="1"/>
  <c r="K775" i="5" s="1"/>
  <c r="K771" i="5" a="1"/>
  <c r="K771" i="5" s="1"/>
  <c r="K767" i="5" a="1"/>
  <c r="K767" i="5" s="1"/>
  <c r="K763" i="5" a="1"/>
  <c r="K763" i="5" s="1"/>
  <c r="K759" i="5" a="1"/>
  <c r="K759" i="5" s="1"/>
  <c r="K755" i="5" a="1"/>
  <c r="K755" i="5" s="1"/>
  <c r="K751" i="5" a="1"/>
  <c r="K751" i="5" s="1"/>
  <c r="K747" i="5" a="1"/>
  <c r="K747" i="5" s="1"/>
  <c r="K743" i="5" a="1"/>
  <c r="K743" i="5" s="1"/>
  <c r="K739" i="5" a="1"/>
  <c r="K739" i="5" s="1"/>
  <c r="K735" i="5" a="1"/>
  <c r="K735" i="5" s="1"/>
  <c r="K731" i="5" a="1"/>
  <c r="K731" i="5" s="1"/>
  <c r="K727" i="5" a="1"/>
  <c r="K727" i="5" s="1"/>
  <c r="K723" i="5" a="1"/>
  <c r="K723" i="5" s="1"/>
  <c r="K719" i="5" a="1"/>
  <c r="K719" i="5" s="1"/>
  <c r="K715" i="5" a="1"/>
  <c r="K715" i="5" s="1"/>
  <c r="K711" i="5" a="1"/>
  <c r="K711" i="5" s="1"/>
  <c r="K707" i="5" a="1"/>
  <c r="K707" i="5" s="1"/>
  <c r="K703" i="5" a="1"/>
  <c r="K703" i="5" s="1"/>
  <c r="K699" i="5" a="1"/>
  <c r="K699" i="5" s="1"/>
  <c r="K695" i="5" a="1"/>
  <c r="K695" i="5" s="1"/>
  <c r="K691" i="5" a="1"/>
  <c r="K691" i="5" s="1"/>
  <c r="K687" i="5" a="1"/>
  <c r="K687" i="5" s="1"/>
  <c r="K683" i="5" a="1"/>
  <c r="K683" i="5" s="1"/>
  <c r="K679" i="5" a="1"/>
  <c r="K679" i="5" s="1"/>
  <c r="K675" i="5" a="1"/>
  <c r="K675" i="5" s="1"/>
  <c r="K671" i="5" a="1"/>
  <c r="K671" i="5" s="1"/>
  <c r="K667" i="5" a="1"/>
  <c r="K667" i="5" s="1"/>
  <c r="K663" i="5" a="1"/>
  <c r="K663" i="5" s="1"/>
  <c r="K659" i="5" a="1"/>
  <c r="K659" i="5" s="1"/>
  <c r="K655" i="5" a="1"/>
  <c r="K655" i="5" s="1"/>
  <c r="K651" i="5" a="1"/>
  <c r="K651" i="5" s="1"/>
  <c r="K647" i="5" a="1"/>
  <c r="K647" i="5" s="1"/>
  <c r="K643" i="5" a="1"/>
  <c r="K643" i="5" s="1"/>
  <c r="K639" i="5" a="1"/>
  <c r="K639" i="5" s="1"/>
  <c r="K635" i="5" a="1"/>
  <c r="K635" i="5" s="1"/>
  <c r="K631" i="5" a="1"/>
  <c r="K631" i="5" s="1"/>
  <c r="K627" i="5" a="1"/>
  <c r="K627" i="5" s="1"/>
  <c r="K623" i="5" a="1"/>
  <c r="K623" i="5" s="1"/>
  <c r="K619" i="5" a="1"/>
  <c r="K619" i="5" s="1"/>
  <c r="K615" i="5" a="1"/>
  <c r="K615" i="5" s="1"/>
  <c r="K611" i="5" a="1"/>
  <c r="K611" i="5" s="1"/>
  <c r="K607" i="5" a="1"/>
  <c r="K607" i="5" s="1"/>
  <c r="K603" i="5" a="1"/>
  <c r="K603" i="5" s="1"/>
  <c r="K599" i="5" a="1"/>
  <c r="K599" i="5" s="1"/>
  <c r="K595" i="5" a="1"/>
  <c r="K595" i="5" s="1"/>
  <c r="K591" i="5" a="1"/>
  <c r="K591" i="5" s="1"/>
  <c r="K587" i="5" a="1"/>
  <c r="K587" i="5" s="1"/>
  <c r="K583" i="5" a="1"/>
  <c r="K583" i="5" s="1"/>
  <c r="K579" i="5" a="1"/>
  <c r="K579" i="5" s="1"/>
  <c r="K575" i="5" a="1"/>
  <c r="K575" i="5" s="1"/>
  <c r="K571" i="5" a="1"/>
  <c r="K571" i="5" s="1"/>
  <c r="K567" i="5" a="1"/>
  <c r="K567" i="5" s="1"/>
  <c r="K563" i="5" a="1"/>
  <c r="K563" i="5" s="1"/>
  <c r="K559" i="5" a="1"/>
  <c r="K559" i="5" s="1"/>
  <c r="K555" i="5" a="1"/>
  <c r="K555" i="5" s="1"/>
  <c r="K551" i="5" a="1"/>
  <c r="K551" i="5" s="1"/>
  <c r="K547" i="5" a="1"/>
  <c r="K547" i="5" s="1"/>
  <c r="K543" i="5" a="1"/>
  <c r="K543" i="5" s="1"/>
  <c r="K539" i="5" a="1"/>
  <c r="K539" i="5" s="1"/>
  <c r="K535" i="5" a="1"/>
  <c r="K535" i="5" s="1"/>
  <c r="K531" i="5" a="1"/>
  <c r="K531" i="5" s="1"/>
  <c r="K527" i="5" a="1"/>
  <c r="K527" i="5" s="1"/>
  <c r="K523" i="5" a="1"/>
  <c r="K523" i="5" s="1"/>
  <c r="K519" i="5" a="1"/>
  <c r="K519" i="5" s="1"/>
  <c r="K515" i="5" a="1"/>
  <c r="K515" i="5" s="1"/>
  <c r="K511" i="5" a="1"/>
  <c r="K511" i="5" s="1"/>
  <c r="K507" i="5" a="1"/>
  <c r="K507" i="5" s="1"/>
  <c r="K503" i="5" a="1"/>
  <c r="K503" i="5" s="1"/>
  <c r="K499" i="5" a="1"/>
  <c r="K499" i="5" s="1"/>
  <c r="K495" i="5" a="1"/>
  <c r="K495" i="5" s="1"/>
  <c r="K491" i="5" a="1"/>
  <c r="K491" i="5" s="1"/>
  <c r="K487" i="5" a="1"/>
  <c r="K487" i="5" s="1"/>
  <c r="K483" i="5" a="1"/>
  <c r="K483" i="5" s="1"/>
  <c r="K479" i="5" a="1"/>
  <c r="K479" i="5" s="1"/>
  <c r="K475" i="5" a="1"/>
  <c r="K475" i="5" s="1"/>
  <c r="K471" i="5" a="1"/>
  <c r="K471" i="5" s="1"/>
  <c r="K467" i="5" a="1"/>
  <c r="K467" i="5" s="1"/>
  <c r="K463" i="5" a="1"/>
  <c r="K463" i="5" s="1"/>
  <c r="K459" i="5" a="1"/>
  <c r="K459" i="5" s="1"/>
  <c r="K455" i="5" a="1"/>
  <c r="K455" i="5" s="1"/>
  <c r="K451" i="5" a="1"/>
  <c r="K451" i="5" s="1"/>
  <c r="K447" i="5" a="1"/>
  <c r="K447" i="5" s="1"/>
  <c r="K443" i="5" a="1"/>
  <c r="K443" i="5" s="1"/>
  <c r="K439" i="5" a="1"/>
  <c r="K439" i="5" s="1"/>
  <c r="K435" i="5" a="1"/>
  <c r="K435" i="5" s="1"/>
  <c r="K431" i="5" a="1"/>
  <c r="K431" i="5" s="1"/>
  <c r="K427" i="5" a="1"/>
  <c r="K427" i="5" s="1"/>
  <c r="K423" i="5" a="1"/>
  <c r="K423" i="5" s="1"/>
  <c r="K419" i="5" a="1"/>
  <c r="K419" i="5" s="1"/>
  <c r="K415" i="5" a="1"/>
  <c r="K415" i="5" s="1"/>
  <c r="K411" i="5" a="1"/>
  <c r="K411" i="5" s="1"/>
  <c r="K407" i="5" a="1"/>
  <c r="K407" i="5" s="1"/>
  <c r="K403" i="5" a="1"/>
  <c r="K403" i="5" s="1"/>
  <c r="K399" i="5" a="1"/>
  <c r="K399" i="5" s="1"/>
  <c r="K395" i="5" a="1"/>
  <c r="K395" i="5" s="1"/>
  <c r="K391" i="5" a="1"/>
  <c r="K391" i="5" s="1"/>
  <c r="K387" i="5" a="1"/>
  <c r="K387" i="5" s="1"/>
  <c r="K383" i="5" a="1"/>
  <c r="K383" i="5" s="1"/>
  <c r="K379" i="5" a="1"/>
  <c r="K379" i="5" s="1"/>
  <c r="K375" i="5" a="1"/>
  <c r="K375" i="5" s="1"/>
  <c r="K371" i="5" a="1"/>
  <c r="K371" i="5" s="1"/>
  <c r="K367" i="5" a="1"/>
  <c r="K367" i="5" s="1"/>
  <c r="K363" i="5" a="1"/>
  <c r="K363" i="5" s="1"/>
  <c r="K359" i="5" a="1"/>
  <c r="K359" i="5" s="1"/>
  <c r="K355" i="5" a="1"/>
  <c r="K355" i="5" s="1"/>
  <c r="K351" i="5" a="1"/>
  <c r="K351" i="5" s="1"/>
  <c r="K347" i="5" a="1"/>
  <c r="K347" i="5" s="1"/>
  <c r="K343" i="5" a="1"/>
  <c r="K343" i="5" s="1"/>
  <c r="K339" i="5" a="1"/>
  <c r="K339" i="5" s="1"/>
  <c r="K335" i="5" a="1"/>
  <c r="K335" i="5" s="1"/>
  <c r="K331" i="5" a="1"/>
  <c r="K331" i="5" s="1"/>
  <c r="K327" i="5" a="1"/>
  <c r="K327" i="5" s="1"/>
  <c r="K323" i="5" a="1"/>
  <c r="K323" i="5" s="1"/>
  <c r="K319" i="5" a="1"/>
  <c r="K319" i="5" s="1"/>
  <c r="K315" i="5" a="1"/>
  <c r="K315" i="5" s="1"/>
  <c r="K311" i="5" a="1"/>
  <c r="K311" i="5" s="1"/>
  <c r="K307" i="5" a="1"/>
  <c r="K307" i="5" s="1"/>
  <c r="K303" i="5" a="1"/>
  <c r="K303" i="5" s="1"/>
  <c r="K299" i="5" a="1"/>
  <c r="K299" i="5" s="1"/>
  <c r="K295" i="5" a="1"/>
  <c r="K295" i="5" s="1"/>
  <c r="K291" i="5" a="1"/>
  <c r="K291" i="5" s="1"/>
  <c r="K287" i="5" a="1"/>
  <c r="K287" i="5" s="1"/>
  <c r="K283" i="5" a="1"/>
  <c r="K283" i="5" s="1"/>
  <c r="K279" i="5" a="1"/>
  <c r="K279" i="5" s="1"/>
  <c r="K275" i="5" a="1"/>
  <c r="K275" i="5" s="1"/>
  <c r="K271" i="5" a="1"/>
  <c r="K271" i="5" s="1"/>
  <c r="K267" i="5" a="1"/>
  <c r="K267" i="5" s="1"/>
  <c r="K263" i="5" a="1"/>
  <c r="K263" i="5" s="1"/>
  <c r="K259" i="5" a="1"/>
  <c r="K259" i="5" s="1"/>
  <c r="K255" i="5" a="1"/>
  <c r="K255" i="5" s="1"/>
  <c r="K251" i="5" a="1"/>
  <c r="K251" i="5" s="1"/>
  <c r="K247" i="5" a="1"/>
  <c r="K247" i="5" s="1"/>
  <c r="K243" i="5" a="1"/>
  <c r="K243" i="5" s="1"/>
  <c r="K239" i="5" a="1"/>
  <c r="K239" i="5" s="1"/>
  <c r="K235" i="5" a="1"/>
  <c r="K235" i="5" s="1"/>
  <c r="K231" i="5" a="1"/>
  <c r="K231" i="5" s="1"/>
  <c r="K227" i="5" a="1"/>
  <c r="K227" i="5" s="1"/>
  <c r="K223" i="5" a="1"/>
  <c r="K223" i="5" s="1"/>
  <c r="K219" i="5" a="1"/>
  <c r="K219" i="5" s="1"/>
  <c r="K215" i="5" a="1"/>
  <c r="K215" i="5" s="1"/>
  <c r="K211" i="5" a="1"/>
  <c r="K211" i="5" s="1"/>
  <c r="K207" i="5" a="1"/>
  <c r="K207" i="5" s="1"/>
  <c r="K203" i="5" a="1"/>
  <c r="K203" i="5" s="1"/>
  <c r="K199" i="5" a="1"/>
  <c r="K199" i="5" s="1"/>
  <c r="K195" i="5" a="1"/>
  <c r="K195" i="5" s="1"/>
  <c r="K191" i="5" a="1"/>
  <c r="K191" i="5" s="1"/>
  <c r="K187" i="5" a="1"/>
  <c r="K187" i="5" s="1"/>
  <c r="K183" i="5" a="1"/>
  <c r="K183" i="5" s="1"/>
  <c r="K179" i="5" a="1"/>
  <c r="K179" i="5" s="1"/>
  <c r="K175" i="5" a="1"/>
  <c r="K175" i="5" s="1"/>
  <c r="K171" i="5" a="1"/>
  <c r="K171" i="5" s="1"/>
  <c r="K167" i="5" a="1"/>
  <c r="K167" i="5" s="1"/>
  <c r="K163" i="5" a="1"/>
  <c r="K163" i="5" s="1"/>
  <c r="K159" i="5" a="1"/>
  <c r="K159" i="5" s="1"/>
  <c r="K155" i="5" a="1"/>
  <c r="K155" i="5" s="1"/>
  <c r="K151" i="5" a="1"/>
  <c r="K151" i="5" s="1"/>
  <c r="K147" i="5" a="1"/>
  <c r="K147" i="5" s="1"/>
  <c r="K143" i="5" a="1"/>
  <c r="K143" i="5" s="1"/>
  <c r="K139" i="5" a="1"/>
  <c r="K139" i="5" s="1"/>
  <c r="K135" i="5" a="1"/>
  <c r="K135" i="5" s="1"/>
  <c r="K131" i="5" a="1"/>
  <c r="K131" i="5" s="1"/>
  <c r="K127" i="5" a="1"/>
  <c r="K127" i="5" s="1"/>
  <c r="K854" i="5" a="1"/>
  <c r="K854" i="5" s="1"/>
  <c r="K850" i="5" a="1"/>
  <c r="K850" i="5" s="1"/>
  <c r="K846" i="5" a="1"/>
  <c r="K846" i="5" s="1"/>
  <c r="K842" i="5" a="1"/>
  <c r="K842" i="5" s="1"/>
  <c r="K838" i="5" a="1"/>
  <c r="K838" i="5" s="1"/>
  <c r="K834" i="5" a="1"/>
  <c r="K834" i="5" s="1"/>
  <c r="K830" i="5" a="1"/>
  <c r="K830" i="5" s="1"/>
  <c r="K826" i="5" a="1"/>
  <c r="K826" i="5" s="1"/>
  <c r="K822" i="5" a="1"/>
  <c r="K822" i="5" s="1"/>
  <c r="K818" i="5" a="1"/>
  <c r="K818" i="5" s="1"/>
  <c r="K814" i="5" a="1"/>
  <c r="K814" i="5" s="1"/>
  <c r="K810" i="5" a="1"/>
  <c r="K810" i="5" s="1"/>
  <c r="K806" i="5" a="1"/>
  <c r="K806" i="5" s="1"/>
  <c r="K802" i="5" a="1"/>
  <c r="K802" i="5" s="1"/>
  <c r="K798" i="5" a="1"/>
  <c r="K798" i="5" s="1"/>
  <c r="K794" i="5" a="1"/>
  <c r="K794" i="5" s="1"/>
  <c r="K790" i="5" a="1"/>
  <c r="K790" i="5" s="1"/>
  <c r="K786" i="5" a="1"/>
  <c r="K786" i="5" s="1"/>
  <c r="K782" i="5" a="1"/>
  <c r="K782" i="5" s="1"/>
  <c r="K778" i="5" a="1"/>
  <c r="K778" i="5" s="1"/>
  <c r="K774" i="5" a="1"/>
  <c r="K774" i="5" s="1"/>
  <c r="K770" i="5" a="1"/>
  <c r="K770" i="5" s="1"/>
  <c r="K766" i="5" a="1"/>
  <c r="K766" i="5" s="1"/>
  <c r="K762" i="5" a="1"/>
  <c r="K762" i="5" s="1"/>
  <c r="K758" i="5" a="1"/>
  <c r="K758" i="5" s="1"/>
  <c r="K754" i="5" a="1"/>
  <c r="K754" i="5" s="1"/>
  <c r="K750" i="5" a="1"/>
  <c r="K750" i="5" s="1"/>
  <c r="K746" i="5" a="1"/>
  <c r="K746" i="5" s="1"/>
  <c r="K742" i="5" a="1"/>
  <c r="K742" i="5" s="1"/>
  <c r="K738" i="5" a="1"/>
  <c r="K738" i="5" s="1"/>
  <c r="K734" i="5" a="1"/>
  <c r="K734" i="5" s="1"/>
  <c r="K730" i="5" a="1"/>
  <c r="K730" i="5" s="1"/>
  <c r="K726" i="5" a="1"/>
  <c r="K726" i="5" s="1"/>
  <c r="K722" i="5" a="1"/>
  <c r="K722" i="5" s="1"/>
  <c r="K718" i="5" a="1"/>
  <c r="K718" i="5" s="1"/>
  <c r="K714" i="5" a="1"/>
  <c r="K714" i="5" s="1"/>
  <c r="K710" i="5" a="1"/>
  <c r="K710" i="5" s="1"/>
  <c r="K706" i="5" a="1"/>
  <c r="K706" i="5" s="1"/>
  <c r="K702" i="5" a="1"/>
  <c r="K702" i="5" s="1"/>
  <c r="K698" i="5" a="1"/>
  <c r="K698" i="5" s="1"/>
  <c r="K694" i="5" a="1"/>
  <c r="K694" i="5" s="1"/>
  <c r="K690" i="5" a="1"/>
  <c r="K690" i="5" s="1"/>
  <c r="K686" i="5" a="1"/>
  <c r="K686" i="5" s="1"/>
  <c r="K682" i="5" a="1"/>
  <c r="K682" i="5" s="1"/>
  <c r="K678" i="5" a="1"/>
  <c r="K678" i="5" s="1"/>
  <c r="K674" i="5" a="1"/>
  <c r="K674" i="5" s="1"/>
  <c r="K670" i="5" a="1"/>
  <c r="K670" i="5" s="1"/>
  <c r="K666" i="5" a="1"/>
  <c r="K666" i="5" s="1"/>
  <c r="K662" i="5" a="1"/>
  <c r="K662" i="5" s="1"/>
  <c r="K658" i="5" a="1"/>
  <c r="K658" i="5" s="1"/>
  <c r="K654" i="5" a="1"/>
  <c r="K654" i="5" s="1"/>
  <c r="K650" i="5" a="1"/>
  <c r="K650" i="5" s="1"/>
  <c r="K646" i="5" a="1"/>
  <c r="K646" i="5" s="1"/>
  <c r="K642" i="5" a="1"/>
  <c r="K642" i="5" s="1"/>
  <c r="K638" i="5" a="1"/>
  <c r="K638" i="5" s="1"/>
  <c r="K634" i="5" a="1"/>
  <c r="K634" i="5" s="1"/>
  <c r="K630" i="5" a="1"/>
  <c r="K630" i="5" s="1"/>
  <c r="K626" i="5" a="1"/>
  <c r="K626" i="5" s="1"/>
  <c r="K622" i="5" a="1"/>
  <c r="K622" i="5" s="1"/>
  <c r="K618" i="5" a="1"/>
  <c r="K618" i="5" s="1"/>
  <c r="K614" i="5" a="1"/>
  <c r="K614" i="5" s="1"/>
  <c r="K610" i="5" a="1"/>
  <c r="K610" i="5" s="1"/>
  <c r="K606" i="5" a="1"/>
  <c r="K606" i="5" s="1"/>
  <c r="K602" i="5" a="1"/>
  <c r="K602" i="5" s="1"/>
  <c r="K598" i="5" a="1"/>
  <c r="K598" i="5" s="1"/>
  <c r="K594" i="5" a="1"/>
  <c r="K594" i="5" s="1"/>
  <c r="K590" i="5" a="1"/>
  <c r="K590" i="5" s="1"/>
  <c r="K586" i="5" a="1"/>
  <c r="K586" i="5" s="1"/>
  <c r="K582" i="5" a="1"/>
  <c r="K582" i="5" s="1"/>
  <c r="K578" i="5" a="1"/>
  <c r="K578" i="5" s="1"/>
  <c r="K574" i="5" a="1"/>
  <c r="K574" i="5" s="1"/>
  <c r="K570" i="5" a="1"/>
  <c r="K570" i="5" s="1"/>
  <c r="K566" i="5" a="1"/>
  <c r="K566" i="5" s="1"/>
  <c r="K562" i="5" a="1"/>
  <c r="K562" i="5" s="1"/>
  <c r="K558" i="5" a="1"/>
  <c r="K558" i="5" s="1"/>
  <c r="K554" i="5" a="1"/>
  <c r="K554" i="5" s="1"/>
  <c r="K550" i="5" a="1"/>
  <c r="K550" i="5" s="1"/>
  <c r="K546" i="5" a="1"/>
  <c r="K546" i="5" s="1"/>
  <c r="K542" i="5" a="1"/>
  <c r="K542" i="5" s="1"/>
  <c r="K538" i="5" a="1"/>
  <c r="K538" i="5" s="1"/>
  <c r="K534" i="5" a="1"/>
  <c r="K534" i="5" s="1"/>
  <c r="K530" i="5" a="1"/>
  <c r="K530" i="5" s="1"/>
  <c r="K526" i="5" a="1"/>
  <c r="K526" i="5" s="1"/>
  <c r="K522" i="5" a="1"/>
  <c r="K522" i="5" s="1"/>
  <c r="K518" i="5" a="1"/>
  <c r="K518" i="5" s="1"/>
  <c r="K514" i="5" a="1"/>
  <c r="K514" i="5" s="1"/>
  <c r="K510" i="5" a="1"/>
  <c r="K510" i="5" s="1"/>
  <c r="K506" i="5" a="1"/>
  <c r="K506" i="5" s="1"/>
  <c r="K502" i="5" a="1"/>
  <c r="K502" i="5" s="1"/>
  <c r="K498" i="5" a="1"/>
  <c r="K498" i="5" s="1"/>
  <c r="K494" i="5" a="1"/>
  <c r="K494" i="5" s="1"/>
  <c r="K490" i="5" a="1"/>
  <c r="K490" i="5" s="1"/>
  <c r="K486" i="5" a="1"/>
  <c r="K486" i="5" s="1"/>
  <c r="K482" i="5" a="1"/>
  <c r="K482" i="5" s="1"/>
  <c r="K478" i="5" a="1"/>
  <c r="K478" i="5" s="1"/>
  <c r="K474" i="5" a="1"/>
  <c r="K474" i="5" s="1"/>
  <c r="K470" i="5" a="1"/>
  <c r="K470" i="5" s="1"/>
  <c r="K466" i="5" a="1"/>
  <c r="K466" i="5" s="1"/>
  <c r="K462" i="5" a="1"/>
  <c r="K462" i="5" s="1"/>
  <c r="K458" i="5" a="1"/>
  <c r="K458" i="5" s="1"/>
  <c r="K454" i="5" a="1"/>
  <c r="K454" i="5" s="1"/>
  <c r="K450" i="5" a="1"/>
  <c r="K450" i="5" s="1"/>
  <c r="K446" i="5" a="1"/>
  <c r="K446" i="5" s="1"/>
  <c r="K442" i="5" a="1"/>
  <c r="K442" i="5" s="1"/>
  <c r="K438" i="5" a="1"/>
  <c r="K438" i="5" s="1"/>
  <c r="K434" i="5" a="1"/>
  <c r="K434" i="5" s="1"/>
  <c r="K430" i="5" a="1"/>
  <c r="K430" i="5" s="1"/>
  <c r="K426" i="5" a="1"/>
  <c r="K426" i="5" s="1"/>
  <c r="K422" i="5" a="1"/>
  <c r="K422" i="5" s="1"/>
  <c r="K418" i="5" a="1"/>
  <c r="K418" i="5" s="1"/>
  <c r="K414" i="5" a="1"/>
  <c r="K414" i="5" s="1"/>
  <c r="K410" i="5" a="1"/>
  <c r="K410" i="5" s="1"/>
  <c r="K406" i="5" a="1"/>
  <c r="K406" i="5" s="1"/>
  <c r="K402" i="5" a="1"/>
  <c r="K402" i="5" s="1"/>
  <c r="K398" i="5" a="1"/>
  <c r="K398" i="5" s="1"/>
  <c r="K394" i="5" a="1"/>
  <c r="K394" i="5" s="1"/>
  <c r="K390" i="5" a="1"/>
  <c r="K390" i="5" s="1"/>
  <c r="K386" i="5" a="1"/>
  <c r="K386" i="5" s="1"/>
  <c r="K382" i="5" a="1"/>
  <c r="K382" i="5" s="1"/>
  <c r="K378" i="5" a="1"/>
  <c r="K378" i="5" s="1"/>
  <c r="K374" i="5" a="1"/>
  <c r="K374" i="5" s="1"/>
  <c r="K370" i="5" a="1"/>
  <c r="K370" i="5" s="1"/>
  <c r="K366" i="5" a="1"/>
  <c r="K366" i="5" s="1"/>
  <c r="K362" i="5" a="1"/>
  <c r="K362" i="5" s="1"/>
  <c r="K358" i="5" a="1"/>
  <c r="K358" i="5" s="1"/>
  <c r="K354" i="5" a="1"/>
  <c r="K354" i="5" s="1"/>
  <c r="K350" i="5" a="1"/>
  <c r="K350" i="5" s="1"/>
  <c r="K346" i="5" a="1"/>
  <c r="K346" i="5" s="1"/>
  <c r="K342" i="5" a="1"/>
  <c r="K342" i="5" s="1"/>
  <c r="K338" i="5" a="1"/>
  <c r="K338" i="5" s="1"/>
  <c r="K334" i="5" a="1"/>
  <c r="K334" i="5" s="1"/>
  <c r="K330" i="5" a="1"/>
  <c r="K330" i="5" s="1"/>
  <c r="K326" i="5" a="1"/>
  <c r="K326" i="5" s="1"/>
  <c r="K322" i="5" a="1"/>
  <c r="K322" i="5" s="1"/>
  <c r="K318" i="5" a="1"/>
  <c r="K318" i="5" s="1"/>
  <c r="K314" i="5" a="1"/>
  <c r="K314" i="5" s="1"/>
  <c r="K310" i="5" a="1"/>
  <c r="K310" i="5" s="1"/>
  <c r="K306" i="5" a="1"/>
  <c r="K306" i="5" s="1"/>
  <c r="K302" i="5" a="1"/>
  <c r="K302" i="5" s="1"/>
  <c r="K298" i="5" a="1"/>
  <c r="K298" i="5" s="1"/>
  <c r="K294" i="5" a="1"/>
  <c r="K294" i="5" s="1"/>
  <c r="K290" i="5" a="1"/>
  <c r="K290" i="5" s="1"/>
  <c r="K286" i="5" a="1"/>
  <c r="K286" i="5" s="1"/>
  <c r="K282" i="5" a="1"/>
  <c r="K282" i="5" s="1"/>
  <c r="K278" i="5" a="1"/>
  <c r="K278" i="5" s="1"/>
  <c r="K274" i="5" a="1"/>
  <c r="K274" i="5" s="1"/>
  <c r="K270" i="5" a="1"/>
  <c r="K270" i="5" s="1"/>
  <c r="K266" i="5" a="1"/>
  <c r="K266" i="5" s="1"/>
  <c r="K262" i="5" a="1"/>
  <c r="K262" i="5" s="1"/>
  <c r="K258" i="5" a="1"/>
  <c r="K258" i="5" s="1"/>
  <c r="K254" i="5" a="1"/>
  <c r="K254" i="5" s="1"/>
  <c r="K250" i="5" a="1"/>
  <c r="K250" i="5" s="1"/>
  <c r="K246" i="5" a="1"/>
  <c r="K246" i="5" s="1"/>
  <c r="K242" i="5" a="1"/>
  <c r="K242" i="5" s="1"/>
  <c r="K238" i="5" a="1"/>
  <c r="K238" i="5" s="1"/>
  <c r="K234" i="5" a="1"/>
  <c r="K234" i="5" s="1"/>
  <c r="K230" i="5" a="1"/>
  <c r="K230" i="5" s="1"/>
  <c r="K226" i="5" a="1"/>
  <c r="K226" i="5" s="1"/>
  <c r="K222" i="5" a="1"/>
  <c r="K222" i="5" s="1"/>
  <c r="K218" i="5" a="1"/>
  <c r="K218" i="5" s="1"/>
  <c r="K214" i="5" a="1"/>
  <c r="K214" i="5" s="1"/>
  <c r="K210" i="5" a="1"/>
  <c r="K210" i="5" s="1"/>
  <c r="K206" i="5" a="1"/>
  <c r="K206" i="5" s="1"/>
  <c r="K202" i="5" a="1"/>
  <c r="K202" i="5" s="1"/>
  <c r="K198" i="5" a="1"/>
  <c r="K198" i="5" s="1"/>
  <c r="K194" i="5" a="1"/>
  <c r="K194" i="5" s="1"/>
  <c r="K190" i="5" a="1"/>
  <c r="K190" i="5" s="1"/>
  <c r="K186" i="5" a="1"/>
  <c r="K186" i="5" s="1"/>
  <c r="K182" i="5" a="1"/>
  <c r="K182" i="5" s="1"/>
  <c r="K178" i="5" a="1"/>
  <c r="K178" i="5" s="1"/>
  <c r="K174" i="5" a="1"/>
  <c r="K174" i="5" s="1"/>
  <c r="K170" i="5" a="1"/>
  <c r="K170" i="5" s="1"/>
  <c r="K166" i="5" a="1"/>
  <c r="K166" i="5" s="1"/>
  <c r="K162" i="5" a="1"/>
  <c r="K162" i="5" s="1"/>
  <c r="K158" i="5" a="1"/>
  <c r="K158" i="5" s="1"/>
  <c r="K154" i="5" a="1"/>
  <c r="K154" i="5" s="1"/>
  <c r="K177" i="5" a="1"/>
  <c r="K177" i="5" s="1"/>
  <c r="K173" i="5" a="1"/>
  <c r="K173" i="5" s="1"/>
  <c r="K169" i="5" a="1"/>
  <c r="K169" i="5" s="1"/>
  <c r="K165" i="5" a="1"/>
  <c r="K165" i="5" s="1"/>
  <c r="K161" i="5" a="1"/>
  <c r="K161" i="5" s="1"/>
  <c r="K157" i="5" a="1"/>
  <c r="K157" i="5" s="1"/>
  <c r="K153" i="5" a="1"/>
  <c r="K153" i="5" s="1"/>
  <c r="K149" i="5" a="1"/>
  <c r="K149" i="5" s="1"/>
  <c r="K145" i="5" a="1"/>
  <c r="K145" i="5" s="1"/>
  <c r="K141" i="5" a="1"/>
  <c r="K141" i="5" s="1"/>
  <c r="K137" i="5" a="1"/>
  <c r="K137" i="5" s="1"/>
  <c r="K133" i="5" a="1"/>
  <c r="K133" i="5" s="1"/>
  <c r="K129" i="5" a="1"/>
  <c r="K129" i="5" s="1"/>
  <c r="K125" i="5" a="1"/>
  <c r="K125" i="5" s="1"/>
  <c r="K121" i="5" a="1"/>
  <c r="K121" i="5" s="1"/>
  <c r="K117" i="5" a="1"/>
  <c r="K117" i="5" s="1"/>
  <c r="K113" i="5" a="1"/>
  <c r="K113" i="5" s="1"/>
  <c r="K109" i="5" a="1"/>
  <c r="K109" i="5" s="1"/>
  <c r="K105" i="5" a="1"/>
  <c r="K105" i="5" s="1"/>
  <c r="K101" i="5" a="1"/>
  <c r="K101" i="5" s="1"/>
  <c r="K97" i="5" a="1"/>
  <c r="K97" i="5" s="1"/>
  <c r="K93" i="5" a="1"/>
  <c r="K93" i="5" s="1"/>
  <c r="K89" i="5" a="1"/>
  <c r="K89" i="5" s="1"/>
  <c r="K85" i="5" a="1"/>
  <c r="K85" i="5" s="1"/>
  <c r="K81" i="5" a="1"/>
  <c r="K81" i="5" s="1"/>
  <c r="K77" i="5" a="1"/>
  <c r="K77" i="5" s="1"/>
  <c r="K73" i="5" a="1"/>
  <c r="K73" i="5" s="1"/>
  <c r="K69" i="5" a="1"/>
  <c r="K69" i="5" s="1"/>
  <c r="K65" i="5" a="1"/>
  <c r="K65" i="5" s="1"/>
  <c r="K61" i="5" a="1"/>
  <c r="K61" i="5" s="1"/>
  <c r="K57" i="5" a="1"/>
  <c r="K57" i="5" s="1"/>
  <c r="K53" i="5" a="1"/>
  <c r="K53" i="5" s="1"/>
  <c r="K49" i="5" a="1"/>
  <c r="K49" i="5" s="1"/>
  <c r="K45" i="5" a="1"/>
  <c r="K45" i="5" s="1"/>
  <c r="K41" i="5" a="1"/>
  <c r="K41" i="5" s="1"/>
  <c r="K37" i="5" a="1"/>
  <c r="K37" i="5" s="1"/>
  <c r="K33" i="5" a="1"/>
  <c r="K33" i="5" s="1"/>
  <c r="K29" i="5" a="1"/>
  <c r="K29" i="5" s="1"/>
  <c r="K25" i="5" a="1"/>
  <c r="K25" i="5" s="1"/>
  <c r="K21" i="5" a="1"/>
  <c r="K21" i="5" s="1"/>
  <c r="K17" i="5" a="1"/>
  <c r="K17" i="5" s="1"/>
  <c r="K13" i="5" a="1"/>
  <c r="K13" i="5" s="1"/>
  <c r="K9" i="5" a="1"/>
  <c r="K9" i="5" s="1"/>
  <c r="K5" i="5" a="1"/>
  <c r="K5" i="5" s="1"/>
  <c r="K148" i="5" a="1"/>
  <c r="K148" i="5" s="1"/>
  <c r="K144" i="5" a="1"/>
  <c r="K144" i="5" s="1"/>
  <c r="K140" i="5" a="1"/>
  <c r="K140" i="5" s="1"/>
  <c r="K136" i="5" a="1"/>
  <c r="K136" i="5" s="1"/>
  <c r="K132" i="5" a="1"/>
  <c r="K132" i="5" s="1"/>
  <c r="K128" i="5" a="1"/>
  <c r="K128" i="5" s="1"/>
  <c r="K124" i="5" a="1"/>
  <c r="K124" i="5" s="1"/>
  <c r="K120" i="5" a="1"/>
  <c r="K120" i="5" s="1"/>
  <c r="K116" i="5" a="1"/>
  <c r="K116" i="5" s="1"/>
  <c r="K112" i="5" a="1"/>
  <c r="K112" i="5" s="1"/>
  <c r="K108" i="5" a="1"/>
  <c r="K108" i="5" s="1"/>
  <c r="K104" i="5" a="1"/>
  <c r="K104" i="5" s="1"/>
  <c r="K100" i="5" a="1"/>
  <c r="K100" i="5" s="1"/>
  <c r="K96" i="5" a="1"/>
  <c r="K96" i="5" s="1"/>
  <c r="K92" i="5" a="1"/>
  <c r="K92" i="5" s="1"/>
  <c r="K88" i="5" a="1"/>
  <c r="K88" i="5" s="1"/>
  <c r="K84" i="5" a="1"/>
  <c r="K84" i="5" s="1"/>
  <c r="K80" i="5" a="1"/>
  <c r="K80" i="5" s="1"/>
  <c r="K76" i="5" a="1"/>
  <c r="K76" i="5" s="1"/>
  <c r="K72" i="5" a="1"/>
  <c r="K72" i="5" s="1"/>
  <c r="K68" i="5" a="1"/>
  <c r="K68" i="5" s="1"/>
  <c r="K64" i="5" a="1"/>
  <c r="K64" i="5" s="1"/>
  <c r="K60" i="5" a="1"/>
  <c r="K60" i="5" s="1"/>
  <c r="K56" i="5" a="1"/>
  <c r="K56" i="5" s="1"/>
  <c r="K52" i="5" a="1"/>
  <c r="K52" i="5" s="1"/>
  <c r="K48" i="5" a="1"/>
  <c r="K48" i="5" s="1"/>
  <c r="K44" i="5" a="1"/>
  <c r="K44" i="5" s="1"/>
  <c r="K40" i="5" a="1"/>
  <c r="K40" i="5" s="1"/>
  <c r="K36" i="5" a="1"/>
  <c r="K36" i="5" s="1"/>
  <c r="K32" i="5" a="1"/>
  <c r="K32" i="5" s="1"/>
  <c r="K28" i="5" a="1"/>
  <c r="K28" i="5" s="1"/>
  <c r="K24" i="5" a="1"/>
  <c r="K24" i="5" s="1"/>
  <c r="K20" i="5" a="1"/>
  <c r="K20" i="5" s="1"/>
  <c r="K16" i="5" a="1"/>
  <c r="K16" i="5" s="1"/>
  <c r="K12" i="5" a="1"/>
  <c r="K12" i="5" s="1"/>
  <c r="K8" i="5" a="1"/>
  <c r="K8" i="5" s="1"/>
  <c r="K4" i="5" a="1"/>
  <c r="K4" i="5" s="1"/>
  <c r="K123" i="5" a="1"/>
  <c r="K123" i="5" s="1"/>
  <c r="K119" i="5" a="1"/>
  <c r="K119" i="5" s="1"/>
  <c r="K115" i="5" a="1"/>
  <c r="K115" i="5" s="1"/>
  <c r="K111" i="5" a="1"/>
  <c r="K111" i="5" s="1"/>
  <c r="K107" i="5" a="1"/>
  <c r="K107" i="5" s="1"/>
  <c r="K103" i="5" a="1"/>
  <c r="K103" i="5" s="1"/>
  <c r="K99" i="5" a="1"/>
  <c r="K99" i="5" s="1"/>
  <c r="K95" i="5" a="1"/>
  <c r="K95" i="5" s="1"/>
  <c r="K91" i="5" a="1"/>
  <c r="K91" i="5" s="1"/>
  <c r="K87" i="5" a="1"/>
  <c r="K87" i="5" s="1"/>
  <c r="K83" i="5" a="1"/>
  <c r="K83" i="5" s="1"/>
  <c r="K79" i="5" a="1"/>
  <c r="K79" i="5" s="1"/>
  <c r="K75" i="5" a="1"/>
  <c r="K75" i="5" s="1"/>
  <c r="K71" i="5" a="1"/>
  <c r="K71" i="5" s="1"/>
  <c r="K67" i="5" a="1"/>
  <c r="K67" i="5" s="1"/>
  <c r="K63" i="5" a="1"/>
  <c r="K63" i="5" s="1"/>
  <c r="K59" i="5" a="1"/>
  <c r="K59" i="5" s="1"/>
  <c r="K55" i="5" a="1"/>
  <c r="K55" i="5" s="1"/>
  <c r="K51" i="5" a="1"/>
  <c r="K51" i="5" s="1"/>
  <c r="K47" i="5" a="1"/>
  <c r="K47" i="5" s="1"/>
  <c r="K43" i="5" a="1"/>
  <c r="K43" i="5" s="1"/>
  <c r="K39" i="5" a="1"/>
  <c r="K39" i="5" s="1"/>
  <c r="K35" i="5" a="1"/>
  <c r="K35" i="5" s="1"/>
  <c r="K31" i="5" a="1"/>
  <c r="K31" i="5" s="1"/>
  <c r="K27" i="5" a="1"/>
  <c r="K27" i="5" s="1"/>
  <c r="K23" i="5" a="1"/>
  <c r="K23" i="5" s="1"/>
  <c r="K19" i="5" a="1"/>
  <c r="K19" i="5" s="1"/>
  <c r="K15" i="5" a="1"/>
  <c r="K15" i="5" s="1"/>
  <c r="K11" i="5" a="1"/>
  <c r="K11" i="5" s="1"/>
  <c r="K7" i="5" a="1"/>
  <c r="K7" i="5" s="1"/>
  <c r="K3" i="5" a="1"/>
  <c r="K3" i="5" s="1"/>
  <c r="K150" i="5" a="1"/>
  <c r="K150" i="5" s="1"/>
  <c r="K146" i="5" a="1"/>
  <c r="K146" i="5" s="1"/>
  <c r="K142" i="5" a="1"/>
  <c r="K142" i="5" s="1"/>
  <c r="K138" i="5" a="1"/>
  <c r="K138" i="5" s="1"/>
  <c r="K134" i="5" a="1"/>
  <c r="K134" i="5" s="1"/>
  <c r="K130" i="5" a="1"/>
  <c r="K130" i="5" s="1"/>
  <c r="K126" i="5" a="1"/>
  <c r="K126" i="5" s="1"/>
  <c r="K122" i="5" a="1"/>
  <c r="K122" i="5" s="1"/>
  <c r="K118" i="5" a="1"/>
  <c r="K118" i="5" s="1"/>
  <c r="K114" i="5" a="1"/>
  <c r="K114" i="5" s="1"/>
  <c r="K110" i="5" a="1"/>
  <c r="K110" i="5" s="1"/>
  <c r="K106" i="5" a="1"/>
  <c r="K106" i="5" s="1"/>
  <c r="K102" i="5" a="1"/>
  <c r="K102" i="5" s="1"/>
  <c r="K98" i="5" a="1"/>
  <c r="K98" i="5" s="1"/>
  <c r="K94" i="5" a="1"/>
  <c r="K94" i="5" s="1"/>
  <c r="K90" i="5" a="1"/>
  <c r="K90" i="5" s="1"/>
  <c r="K86" i="5" a="1"/>
  <c r="K86" i="5" s="1"/>
  <c r="K82" i="5" a="1"/>
  <c r="K82" i="5" s="1"/>
  <c r="K78" i="5" a="1"/>
  <c r="K78" i="5" s="1"/>
  <c r="K74" i="5" a="1"/>
  <c r="K74" i="5" s="1"/>
  <c r="K70" i="5" a="1"/>
  <c r="K70" i="5" s="1"/>
  <c r="K66" i="5" a="1"/>
  <c r="K66" i="5" s="1"/>
  <c r="K62" i="5" a="1"/>
  <c r="K62" i="5" s="1"/>
  <c r="K58" i="5" a="1"/>
  <c r="K58" i="5" s="1"/>
  <c r="K54" i="5" a="1"/>
  <c r="K54" i="5" s="1"/>
  <c r="K50" i="5" a="1"/>
  <c r="K50" i="5" s="1"/>
  <c r="K46" i="5" a="1"/>
  <c r="K46" i="5" s="1"/>
  <c r="K42" i="5" a="1"/>
  <c r="K42" i="5" s="1"/>
  <c r="K38" i="5" a="1"/>
  <c r="K38" i="5" s="1"/>
  <c r="K34" i="5" a="1"/>
  <c r="K34" i="5" s="1"/>
  <c r="K30" i="5" a="1"/>
  <c r="K30" i="5" s="1"/>
  <c r="K26" i="5" a="1"/>
  <c r="K26" i="5" s="1"/>
  <c r="K22" i="5" a="1"/>
  <c r="K22" i="5" s="1"/>
  <c r="K18" i="5" a="1"/>
  <c r="K18" i="5" s="1"/>
  <c r="K14" i="5" a="1"/>
  <c r="K14" i="5" s="1"/>
  <c r="K10" i="5" a="1"/>
  <c r="K10" i="5" s="1"/>
  <c r="K6" i="5" a="1"/>
  <c r="K6" i="5" s="1"/>
  <c r="K2" i="5" a="1"/>
  <c r="K2" i="5" s="1"/>
  <c r="H175" i="4"/>
  <c r="C5" i="4"/>
  <c r="H99" i="4"/>
  <c r="H82" i="4"/>
  <c r="J222" i="4"/>
  <c r="J218" i="4"/>
  <c r="J214" i="4"/>
  <c r="J210" i="4"/>
  <c r="J206" i="4"/>
  <c r="J202" i="4"/>
  <c r="J198" i="4"/>
  <c r="J223" i="4"/>
  <c r="J219" i="4"/>
  <c r="J215" i="4"/>
  <c r="J211" i="4"/>
  <c r="J207" i="4"/>
  <c r="J203" i="4"/>
  <c r="J199" i="4"/>
  <c r="J195" i="4"/>
  <c r="J191" i="4"/>
  <c r="J187" i="4"/>
  <c r="J183" i="4"/>
  <c r="J179" i="4"/>
  <c r="J175" i="4"/>
  <c r="J171" i="4"/>
  <c r="J167" i="4"/>
  <c r="J163" i="4"/>
  <c r="J159" i="4"/>
  <c r="J155" i="4"/>
  <c r="J151" i="4"/>
  <c r="J147" i="4"/>
  <c r="J143" i="4"/>
  <c r="J139" i="4"/>
  <c r="J135" i="4"/>
  <c r="J131" i="4"/>
  <c r="J127" i="4"/>
  <c r="J123" i="4"/>
  <c r="J119" i="4"/>
  <c r="J115" i="4"/>
  <c r="J111" i="4"/>
  <c r="J107" i="4"/>
  <c r="J103" i="4"/>
  <c r="J99" i="4"/>
  <c r="J95" i="4"/>
  <c r="J91" i="4"/>
  <c r="J87" i="4"/>
  <c r="J83" i="4"/>
  <c r="J79" i="4"/>
  <c r="J75" i="4"/>
  <c r="J71" i="4"/>
  <c r="J67" i="4"/>
  <c r="J63" i="4"/>
  <c r="J59" i="4"/>
  <c r="J55" i="4"/>
  <c r="J51" i="4"/>
  <c r="J47" i="4"/>
  <c r="J43" i="4"/>
  <c r="J39" i="4"/>
  <c r="J35" i="4"/>
  <c r="J31" i="4"/>
  <c r="J27" i="4"/>
  <c r="J23" i="4"/>
  <c r="J19" i="4"/>
  <c r="J15" i="4"/>
  <c r="J11" i="4"/>
  <c r="J10" i="4"/>
  <c r="J194" i="4"/>
  <c r="J186" i="4"/>
  <c r="J178" i="4"/>
  <c r="J170" i="4"/>
  <c r="J162" i="4"/>
  <c r="J154" i="4"/>
  <c r="J146" i="4"/>
  <c r="J138" i="4"/>
  <c r="J130" i="4"/>
  <c r="J122" i="4"/>
  <c r="J114" i="4"/>
  <c r="J102" i="4"/>
  <c r="J94" i="4"/>
  <c r="J86" i="4"/>
  <c r="J78" i="4"/>
  <c r="J70" i="4"/>
  <c r="J62" i="4"/>
  <c r="J54" i="4"/>
  <c r="J50" i="4"/>
  <c r="J42" i="4"/>
  <c r="J34" i="4"/>
  <c r="J30" i="4"/>
  <c r="J26" i="4"/>
  <c r="J22" i="4"/>
  <c r="J14" i="4"/>
  <c r="J221" i="4"/>
  <c r="J217" i="4"/>
  <c r="J213" i="4"/>
  <c r="J209" i="4"/>
  <c r="J205" i="4"/>
  <c r="J201" i="4"/>
  <c r="J197" i="4"/>
  <c r="J193" i="4"/>
  <c r="J189" i="4"/>
  <c r="J185" i="4"/>
  <c r="J181" i="4"/>
  <c r="J177" i="4"/>
  <c r="J173" i="4"/>
  <c r="J169" i="4"/>
  <c r="J165" i="4"/>
  <c r="J161" i="4"/>
  <c r="J157" i="4"/>
  <c r="J153" i="4"/>
  <c r="J149" i="4"/>
  <c r="J145" i="4"/>
  <c r="J141" i="4"/>
  <c r="J137" i="4"/>
  <c r="J133" i="4"/>
  <c r="J129" i="4"/>
  <c r="J125" i="4"/>
  <c r="J121" i="4"/>
  <c r="J117" i="4"/>
  <c r="J113" i="4"/>
  <c r="J109" i="4"/>
  <c r="J105" i="4"/>
  <c r="J101" i="4"/>
  <c r="J97" i="4"/>
  <c r="J93" i="4"/>
  <c r="J89" i="4"/>
  <c r="J85" i="4"/>
  <c r="J81" i="4"/>
  <c r="J77" i="4"/>
  <c r="J73" i="4"/>
  <c r="J69" i="4"/>
  <c r="J65" i="4"/>
  <c r="J61" i="4"/>
  <c r="J57" i="4"/>
  <c r="J53" i="4"/>
  <c r="J49" i="4"/>
  <c r="J45" i="4"/>
  <c r="J41" i="4"/>
  <c r="J37" i="4"/>
  <c r="J33" i="4"/>
  <c r="J29" i="4"/>
  <c r="J25" i="4"/>
  <c r="J21" i="4"/>
  <c r="J17" i="4"/>
  <c r="J13" i="4"/>
  <c r="J9" i="4"/>
  <c r="J190" i="4"/>
  <c r="J182" i="4"/>
  <c r="J174" i="4"/>
  <c r="J166" i="4"/>
  <c r="J158" i="4"/>
  <c r="J150" i="4"/>
  <c r="J142" i="4"/>
  <c r="J134" i="4"/>
  <c r="J126" i="4"/>
  <c r="J118" i="4"/>
  <c r="J110" i="4"/>
  <c r="J106" i="4"/>
  <c r="J98" i="4"/>
  <c r="J90" i="4"/>
  <c r="J82" i="4"/>
  <c r="J74" i="4"/>
  <c r="J66" i="4"/>
  <c r="J58" i="4"/>
  <c r="J46" i="4"/>
  <c r="J38" i="4"/>
  <c r="J18" i="4"/>
  <c r="J220" i="4"/>
  <c r="J216" i="4"/>
  <c r="J212" i="4"/>
  <c r="J208" i="4"/>
  <c r="J204" i="4"/>
  <c r="J200" i="4"/>
  <c r="J196" i="4"/>
  <c r="J192" i="4"/>
  <c r="J188" i="4"/>
  <c r="J184" i="4"/>
  <c r="J180" i="4"/>
  <c r="J176" i="4"/>
  <c r="J172" i="4"/>
  <c r="J168" i="4"/>
  <c r="J164" i="4"/>
  <c r="J160" i="4"/>
  <c r="J156" i="4"/>
  <c r="J152" i="4"/>
  <c r="J148" i="4"/>
  <c r="J144" i="4"/>
  <c r="J140" i="4"/>
  <c r="J136" i="4"/>
  <c r="J132" i="4"/>
  <c r="J128" i="4"/>
  <c r="J124" i="4"/>
  <c r="J120" i="4"/>
  <c r="J116" i="4"/>
  <c r="J112" i="4"/>
  <c r="J108" i="4"/>
  <c r="J104" i="4"/>
  <c r="J100" i="4"/>
  <c r="J96" i="4"/>
  <c r="J92" i="4"/>
  <c r="J88" i="4"/>
  <c r="J84" i="4"/>
  <c r="J80" i="4"/>
  <c r="J76" i="4"/>
  <c r="J72" i="4"/>
  <c r="J68" i="4"/>
  <c r="J64" i="4"/>
  <c r="J60" i="4"/>
  <c r="J56" i="4"/>
  <c r="J52" i="4"/>
  <c r="J48" i="4"/>
  <c r="J44" i="4"/>
  <c r="J40" i="4"/>
  <c r="J36" i="4"/>
  <c r="J32" i="4"/>
  <c r="J28" i="4"/>
  <c r="J24" i="4"/>
  <c r="J20" i="4"/>
  <c r="J16" i="4"/>
  <c r="J12" i="4"/>
  <c r="H8" i="4"/>
  <c r="H162" i="4"/>
  <c r="H107" i="4"/>
  <c r="L107" i="4" s="1"/>
  <c r="H75" i="4"/>
  <c r="H70" i="4"/>
  <c r="H210" i="4"/>
  <c r="H191" i="4"/>
  <c r="H123" i="4"/>
  <c r="H50" i="4"/>
  <c r="H130" i="4"/>
  <c r="H111" i="4"/>
  <c r="H215" i="4"/>
  <c r="H195" i="4"/>
  <c r="L195" i="4" s="1"/>
  <c r="H190" i="4"/>
  <c r="H174" i="4"/>
  <c r="H155" i="4"/>
  <c r="H147" i="4"/>
  <c r="L147" i="4" s="1"/>
  <c r="H139" i="4"/>
  <c r="L139" i="4" s="1"/>
  <c r="H110" i="4"/>
  <c r="H106" i="4"/>
  <c r="H86" i="4"/>
  <c r="L86" i="4" s="1"/>
  <c r="H79" i="4"/>
  <c r="H35" i="4"/>
  <c r="H31" i="4"/>
  <c r="H223" i="4"/>
  <c r="L223" i="4" s="1"/>
  <c r="H219" i="4"/>
  <c r="H214" i="4"/>
  <c r="H207" i="4"/>
  <c r="H202" i="4"/>
  <c r="H187" i="4"/>
  <c r="L187" i="4" s="1"/>
  <c r="H183" i="4"/>
  <c r="L183" i="4" s="1"/>
  <c r="H178" i="4"/>
  <c r="H154" i="4"/>
  <c r="H150" i="4"/>
  <c r="H146" i="4"/>
  <c r="L146" i="4" s="1"/>
  <c r="H138" i="4"/>
  <c r="H127" i="4"/>
  <c r="L127" i="4" s="1"/>
  <c r="H115" i="4"/>
  <c r="H95" i="4"/>
  <c r="H78" i="4"/>
  <c r="H67" i="4"/>
  <c r="L67" i="4" s="1"/>
  <c r="H59" i="4"/>
  <c r="L59" i="4" s="1"/>
  <c r="H47" i="4"/>
  <c r="H38" i="4"/>
  <c r="H30" i="4"/>
  <c r="H18" i="4"/>
  <c r="H11" i="4"/>
  <c r="L11" i="4" s="1"/>
  <c r="H222" i="4"/>
  <c r="H218" i="4"/>
  <c r="H211" i="4"/>
  <c r="H206" i="4"/>
  <c r="H182" i="4"/>
  <c r="L182" i="4" s="1"/>
  <c r="H167" i="4"/>
  <c r="H126" i="4"/>
  <c r="H114" i="4"/>
  <c r="L114" i="4" s="1"/>
  <c r="H102" i="4"/>
  <c r="H94" i="4"/>
  <c r="L94" i="4" s="1"/>
  <c r="H83" i="4"/>
  <c r="H66" i="4"/>
  <c r="L66" i="4" s="1"/>
  <c r="H58" i="4"/>
  <c r="L58" i="4" s="1"/>
  <c r="H51" i="4"/>
  <c r="H42" i="4"/>
  <c r="H10" i="4"/>
  <c r="L10" i="4" s="1"/>
  <c r="H213" i="4"/>
  <c r="H209" i="4"/>
  <c r="L209" i="4" s="1"/>
  <c r="H205" i="4"/>
  <c r="H193" i="4"/>
  <c r="H189" i="4"/>
  <c r="H157" i="4"/>
  <c r="H145" i="4"/>
  <c r="H141" i="4"/>
  <c r="H133" i="4"/>
  <c r="H129" i="4"/>
  <c r="H125" i="4"/>
  <c r="H121" i="4"/>
  <c r="L121" i="4" s="1"/>
  <c r="H113" i="4"/>
  <c r="L113" i="4" s="1"/>
  <c r="H105" i="4"/>
  <c r="H101" i="4"/>
  <c r="H97" i="4"/>
  <c r="H93" i="4"/>
  <c r="H85" i="4"/>
  <c r="H81" i="4"/>
  <c r="H73" i="4"/>
  <c r="L73" i="4" s="1"/>
  <c r="H65" i="4"/>
  <c r="H61" i="4"/>
  <c r="H57" i="4"/>
  <c r="L57" i="4" s="1"/>
  <c r="H53" i="4"/>
  <c r="H49" i="4"/>
  <c r="L49" i="4" s="1"/>
  <c r="H41" i="4"/>
  <c r="H29" i="4"/>
  <c r="H17" i="4"/>
  <c r="H13" i="4"/>
  <c r="H9" i="4"/>
  <c r="H216" i="4"/>
  <c r="H212" i="4"/>
  <c r="L212" i="4" s="1"/>
  <c r="H188" i="4"/>
  <c r="L188" i="4" s="1"/>
  <c r="H180" i="4"/>
  <c r="H176" i="4"/>
  <c r="H168" i="4"/>
  <c r="H156" i="4"/>
  <c r="H144" i="4"/>
  <c r="H140" i="4"/>
  <c r="H132" i="4"/>
  <c r="L132" i="4" s="1"/>
  <c r="H124" i="4"/>
  <c r="H116" i="4"/>
  <c r="H112" i="4"/>
  <c r="H104" i="4"/>
  <c r="H100" i="4"/>
  <c r="H96" i="4"/>
  <c r="H88" i="4"/>
  <c r="H80" i="4"/>
  <c r="L80" i="4" s="1"/>
  <c r="H76" i="4"/>
  <c r="L76" i="4" s="1"/>
  <c r="H68" i="4"/>
  <c r="H64" i="4"/>
  <c r="H60" i="4"/>
  <c r="H56" i="4"/>
  <c r="H28" i="4"/>
  <c r="L28" i="4" s="1"/>
  <c r="H24" i="4"/>
  <c r="H20" i="4"/>
  <c r="L20" i="4" s="1"/>
  <c r="H16" i="4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2" i="1"/>
  <c r="E2" i="1"/>
  <c r="E3" i="1"/>
  <c r="E5" i="1"/>
  <c r="E6" i="1"/>
  <c r="E7" i="1"/>
  <c r="E8" i="1"/>
  <c r="E9" i="1"/>
  <c r="C17" i="2" s="1"/>
  <c r="F22" i="4" s="1"/>
  <c r="K22" i="4" s="1"/>
  <c r="E10" i="1"/>
  <c r="E11" i="1"/>
  <c r="E12" i="1"/>
  <c r="E13" i="1"/>
  <c r="E14" i="1"/>
  <c r="E15" i="1"/>
  <c r="E16" i="1"/>
  <c r="E17" i="1"/>
  <c r="E4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C107" i="2" s="1"/>
  <c r="F112" i="4" s="1"/>
  <c r="K112" i="4" s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C144" i="2" s="1"/>
  <c r="F149" i="4" s="1"/>
  <c r="K149" i="4" s="1"/>
  <c r="E72" i="1"/>
  <c r="E73" i="1"/>
  <c r="E74" i="1"/>
  <c r="E75" i="1"/>
  <c r="C151" i="2" s="1"/>
  <c r="F156" i="4" s="1"/>
  <c r="K156" i="4" s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C186" i="2" s="1"/>
  <c r="F191" i="4" s="1"/>
  <c r="K191" i="4" s="1"/>
  <c r="E93" i="1"/>
  <c r="E94" i="1"/>
  <c r="E95" i="1"/>
  <c r="E96" i="1"/>
  <c r="E97" i="1"/>
  <c r="E98" i="1"/>
  <c r="E99" i="1"/>
  <c r="E100" i="1"/>
  <c r="E101" i="1"/>
  <c r="E102" i="1"/>
  <c r="C205" i="2" s="1"/>
  <c r="F210" i="4" s="1"/>
  <c r="K210" i="4" s="1"/>
  <c r="E103" i="1"/>
  <c r="E104" i="1"/>
  <c r="E105" i="1"/>
  <c r="E106" i="1"/>
  <c r="E107" i="1"/>
  <c r="E108" i="1"/>
  <c r="K836" i="5" l="1" a="1"/>
  <c r="K836" i="5" s="1"/>
  <c r="K852" i="5" a="1"/>
  <c r="K852" i="5" s="1"/>
  <c r="K868" i="5" a="1"/>
  <c r="K868" i="5" s="1"/>
  <c r="K221" i="5" a="1"/>
  <c r="K221" i="5" s="1"/>
  <c r="K269" i="5" a="1"/>
  <c r="K269" i="5" s="1"/>
  <c r="K301" i="5" a="1"/>
  <c r="K301" i="5" s="1"/>
  <c r="K429" i="5" a="1"/>
  <c r="K429" i="5" s="1"/>
  <c r="K461" i="5" a="1"/>
  <c r="K461" i="5" s="1"/>
  <c r="K509" i="5" a="1"/>
  <c r="K509" i="5" s="1"/>
  <c r="K525" i="5" a="1"/>
  <c r="K525" i="5" s="1"/>
  <c r="K557" i="5" a="1"/>
  <c r="K557" i="5" s="1"/>
  <c r="K573" i="5" a="1"/>
  <c r="K573" i="5" s="1"/>
  <c r="K589" i="5" a="1"/>
  <c r="K589" i="5" s="1"/>
  <c r="K605" i="5" a="1"/>
  <c r="K605" i="5" s="1"/>
  <c r="K621" i="5" a="1"/>
  <c r="K621" i="5" s="1"/>
  <c r="K637" i="5" a="1"/>
  <c r="K637" i="5" s="1"/>
  <c r="K685" i="5" a="1"/>
  <c r="K685" i="5" s="1"/>
  <c r="K701" i="5" a="1"/>
  <c r="K701" i="5" s="1"/>
  <c r="K717" i="5" a="1"/>
  <c r="K717" i="5" s="1"/>
  <c r="K733" i="5" a="1"/>
  <c r="K733" i="5" s="1"/>
  <c r="K749" i="5" a="1"/>
  <c r="K749" i="5" s="1"/>
  <c r="K765" i="5" a="1"/>
  <c r="K765" i="5" s="1"/>
  <c r="K781" i="5" a="1"/>
  <c r="K781" i="5" s="1"/>
  <c r="K797" i="5" a="1"/>
  <c r="K797" i="5" s="1"/>
  <c r="K813" i="5" a="1"/>
  <c r="K813" i="5" s="1"/>
  <c r="K829" i="5" a="1"/>
  <c r="K829" i="5" s="1"/>
  <c r="K845" i="5" a="1"/>
  <c r="K845" i="5" s="1"/>
  <c r="K861" i="5" a="1"/>
  <c r="K861" i="5" s="1"/>
  <c r="K866" i="5" a="1"/>
  <c r="K866" i="5" s="1"/>
  <c r="K851" i="5" a="1"/>
  <c r="K851" i="5" s="1"/>
  <c r="K874" i="5" a="1"/>
  <c r="K874" i="5" s="1"/>
  <c r="K871" i="5" a="1"/>
  <c r="K871" i="5" s="1"/>
  <c r="K824" i="5" a="1"/>
  <c r="K824" i="5" s="1"/>
  <c r="K840" i="5" a="1"/>
  <c r="K840" i="5" s="1"/>
  <c r="K856" i="5" a="1"/>
  <c r="K856" i="5" s="1"/>
  <c r="K872" i="5" a="1"/>
  <c r="K872" i="5" s="1"/>
  <c r="K321" i="5" a="1"/>
  <c r="K321" i="5" s="1"/>
  <c r="K433" i="5" a="1"/>
  <c r="K433" i="5" s="1"/>
  <c r="K465" i="5" a="1"/>
  <c r="K465" i="5" s="1"/>
  <c r="K481" i="5" a="1"/>
  <c r="K481" i="5" s="1"/>
  <c r="K497" i="5" a="1"/>
  <c r="K497" i="5" s="1"/>
  <c r="K513" i="5" a="1"/>
  <c r="K513" i="5" s="1"/>
  <c r="K529" i="5" a="1"/>
  <c r="K529" i="5" s="1"/>
  <c r="K561" i="5" a="1"/>
  <c r="K561" i="5" s="1"/>
  <c r="K577" i="5" a="1"/>
  <c r="K577" i="5" s="1"/>
  <c r="K593" i="5" a="1"/>
  <c r="K593" i="5" s="1"/>
  <c r="K609" i="5" a="1"/>
  <c r="K609" i="5" s="1"/>
  <c r="K625" i="5" a="1"/>
  <c r="K625" i="5" s="1"/>
  <c r="K641" i="5" a="1"/>
  <c r="K641" i="5" s="1"/>
  <c r="K689" i="5" a="1"/>
  <c r="K689" i="5" s="1"/>
  <c r="K705" i="5" a="1"/>
  <c r="K705" i="5" s="1"/>
  <c r="K721" i="5" a="1"/>
  <c r="K721" i="5" s="1"/>
  <c r="K737" i="5" a="1"/>
  <c r="K737" i="5" s="1"/>
  <c r="K753" i="5" a="1"/>
  <c r="K753" i="5" s="1"/>
  <c r="K769" i="5" a="1"/>
  <c r="K769" i="5" s="1"/>
  <c r="K785" i="5" a="1"/>
  <c r="K785" i="5" s="1"/>
  <c r="K801" i="5" a="1"/>
  <c r="K801" i="5" s="1"/>
  <c r="K817" i="5" a="1"/>
  <c r="K817" i="5" s="1"/>
  <c r="K833" i="5" a="1"/>
  <c r="K833" i="5" s="1"/>
  <c r="K849" i="5" a="1"/>
  <c r="K849" i="5" s="1"/>
  <c r="K865" i="5" a="1"/>
  <c r="K865" i="5" s="1"/>
  <c r="K855" i="5" a="1"/>
  <c r="K855" i="5" s="1"/>
  <c r="K873" i="5" a="1"/>
  <c r="K873" i="5" s="1"/>
  <c r="K867" i="5" a="1"/>
  <c r="K867" i="5" s="1"/>
  <c r="K213" i="5" a="1"/>
  <c r="K213" i="5" s="1"/>
  <c r="K325" i="5" a="1"/>
  <c r="K325" i="5" s="1"/>
  <c r="K341" i="5" a="1"/>
  <c r="K341" i="5" s="1"/>
  <c r="K405" i="5" a="1"/>
  <c r="K405" i="5" s="1"/>
  <c r="K453" i="5" a="1"/>
  <c r="K453" i="5" s="1"/>
  <c r="K469" i="5" a="1"/>
  <c r="K469" i="5" s="1"/>
  <c r="K485" i="5" a="1"/>
  <c r="K485" i="5" s="1"/>
  <c r="K501" i="5" a="1"/>
  <c r="K501" i="5" s="1"/>
  <c r="K517" i="5" a="1"/>
  <c r="K517" i="5" s="1"/>
  <c r="K549" i="5" a="1"/>
  <c r="K549" i="5" s="1"/>
  <c r="K565" i="5" a="1"/>
  <c r="K565" i="5" s="1"/>
  <c r="K581" i="5" a="1"/>
  <c r="K581" i="5" s="1"/>
  <c r="K597" i="5" a="1"/>
  <c r="K597" i="5" s="1"/>
  <c r="K613" i="5" a="1"/>
  <c r="K613" i="5" s="1"/>
  <c r="K629" i="5" a="1"/>
  <c r="K629" i="5" s="1"/>
  <c r="K645" i="5" a="1"/>
  <c r="K645" i="5" s="1"/>
  <c r="K677" i="5" a="1"/>
  <c r="K677" i="5" s="1"/>
  <c r="K693" i="5" a="1"/>
  <c r="K693" i="5" s="1"/>
  <c r="K709" i="5" a="1"/>
  <c r="K709" i="5" s="1"/>
  <c r="K725" i="5" a="1"/>
  <c r="K725" i="5" s="1"/>
  <c r="K741" i="5" a="1"/>
  <c r="K741" i="5" s="1"/>
  <c r="K757" i="5" a="1"/>
  <c r="K757" i="5" s="1"/>
  <c r="K773" i="5" a="1"/>
  <c r="K773" i="5" s="1"/>
  <c r="K789" i="5" a="1"/>
  <c r="K789" i="5" s="1"/>
  <c r="K805" i="5" a="1"/>
  <c r="K805" i="5" s="1"/>
  <c r="K821" i="5" a="1"/>
  <c r="K821" i="5" s="1"/>
  <c r="K837" i="5" a="1"/>
  <c r="K837" i="5" s="1"/>
  <c r="K853" i="5" a="1"/>
  <c r="K853" i="5" s="1"/>
  <c r="K858" i="5" a="1"/>
  <c r="K858" i="5" s="1"/>
  <c r="K859" i="5" a="1"/>
  <c r="K859" i="5" s="1"/>
  <c r="K869" i="5" a="1"/>
  <c r="K869" i="5" s="1"/>
  <c r="K848" i="5" a="1"/>
  <c r="K848" i="5" s="1"/>
  <c r="K864" i="5" a="1"/>
  <c r="K864" i="5" s="1"/>
  <c r="K217" i="5" a="1"/>
  <c r="K217" i="5" s="1"/>
  <c r="K249" i="5" a="1"/>
  <c r="K249" i="5" s="1"/>
  <c r="K297" i="5" a="1"/>
  <c r="K297" i="5" s="1"/>
  <c r="K313" i="5" a="1"/>
  <c r="K313" i="5" s="1"/>
  <c r="K361" i="5" a="1"/>
  <c r="K361" i="5" s="1"/>
  <c r="K393" i="5" a="1"/>
  <c r="K393" i="5" s="1"/>
  <c r="K425" i="5" a="1"/>
  <c r="K425" i="5" s="1"/>
  <c r="K457" i="5" a="1"/>
  <c r="K457" i="5" s="1"/>
  <c r="K505" i="5" a="1"/>
  <c r="K505" i="5" s="1"/>
  <c r="K521" i="5" a="1"/>
  <c r="K521" i="5" s="1"/>
  <c r="K553" i="5" a="1"/>
  <c r="K553" i="5" s="1"/>
  <c r="K569" i="5" a="1"/>
  <c r="K569" i="5" s="1"/>
  <c r="K585" i="5" a="1"/>
  <c r="K585" i="5" s="1"/>
  <c r="K601" i="5" a="1"/>
  <c r="K601" i="5" s="1"/>
  <c r="K633" i="5" a="1"/>
  <c r="K633" i="5" s="1"/>
  <c r="K681" i="5" a="1"/>
  <c r="K681" i="5" s="1"/>
  <c r="K697" i="5" a="1"/>
  <c r="K697" i="5" s="1"/>
  <c r="K713" i="5" a="1"/>
  <c r="K713" i="5" s="1"/>
  <c r="K729" i="5" a="1"/>
  <c r="K729" i="5" s="1"/>
  <c r="K745" i="5" a="1"/>
  <c r="K745" i="5" s="1"/>
  <c r="K761" i="5" a="1"/>
  <c r="K761" i="5" s="1"/>
  <c r="K777" i="5" a="1"/>
  <c r="K777" i="5" s="1"/>
  <c r="K793" i="5" a="1"/>
  <c r="K793" i="5" s="1"/>
  <c r="K809" i="5" a="1"/>
  <c r="K809" i="5" s="1"/>
  <c r="K825" i="5" a="1"/>
  <c r="K825" i="5" s="1"/>
  <c r="K841" i="5" a="1"/>
  <c r="K841" i="5" s="1"/>
  <c r="K857" i="5" a="1"/>
  <c r="K857" i="5" s="1"/>
  <c r="K862" i="5" a="1"/>
  <c r="K862" i="5" s="1"/>
  <c r="K863" i="5" a="1"/>
  <c r="K863" i="5" s="1"/>
  <c r="C24" i="2"/>
  <c r="F29" i="4" s="1"/>
  <c r="K29" i="4" s="1"/>
  <c r="C171" i="2"/>
  <c r="F176" i="4" s="1"/>
  <c r="K176" i="4" s="1"/>
  <c r="C125" i="2"/>
  <c r="F130" i="4" s="1"/>
  <c r="K130" i="4" s="1"/>
  <c r="C194" i="2"/>
  <c r="F199" i="4" s="1"/>
  <c r="K199" i="4" s="1"/>
  <c r="L199" i="4" s="1"/>
  <c r="C145" i="2"/>
  <c r="F150" i="4" s="1"/>
  <c r="K150" i="4" s="1"/>
  <c r="C211" i="2"/>
  <c r="F216" i="4" s="1"/>
  <c r="K216" i="4" s="1"/>
  <c r="C210" i="2"/>
  <c r="F215" i="4" s="1"/>
  <c r="K215" i="4" s="1"/>
  <c r="C203" i="2"/>
  <c r="F208" i="4" s="1"/>
  <c r="K208" i="4" s="1"/>
  <c r="C202" i="2"/>
  <c r="F207" i="4" s="1"/>
  <c r="K207" i="4" s="1"/>
  <c r="C204" i="2"/>
  <c r="F209" i="4" s="1"/>
  <c r="K209" i="4" s="1"/>
  <c r="C195" i="2"/>
  <c r="F200" i="4" s="1"/>
  <c r="K200" i="4" s="1"/>
  <c r="C196" i="2"/>
  <c r="F201" i="4" s="1"/>
  <c r="K201" i="4" s="1"/>
  <c r="L201" i="4" s="1"/>
  <c r="C187" i="2"/>
  <c r="F192" i="4" s="1"/>
  <c r="K192" i="4" s="1"/>
  <c r="L192" i="4" s="1"/>
  <c r="C188" i="2"/>
  <c r="F193" i="4" s="1"/>
  <c r="K193" i="4" s="1"/>
  <c r="C179" i="2"/>
  <c r="F184" i="4" s="1"/>
  <c r="K184" i="4" s="1"/>
  <c r="C178" i="2"/>
  <c r="F183" i="4" s="1"/>
  <c r="K183" i="4" s="1"/>
  <c r="C181" i="2"/>
  <c r="F186" i="4" s="1"/>
  <c r="K186" i="4" s="1"/>
  <c r="L186" i="4" s="1"/>
  <c r="C180" i="2"/>
  <c r="F185" i="4" s="1"/>
  <c r="K185" i="4" s="1"/>
  <c r="C216" i="2"/>
  <c r="F221" i="4" s="1"/>
  <c r="K221" i="4" s="1"/>
  <c r="C218" i="2"/>
  <c r="F223" i="4" s="1"/>
  <c r="K223" i="4" s="1"/>
  <c r="C217" i="2"/>
  <c r="F222" i="4" s="1"/>
  <c r="K222" i="4" s="1"/>
  <c r="C209" i="2"/>
  <c r="F214" i="4" s="1"/>
  <c r="K214" i="4" s="1"/>
  <c r="C208" i="2"/>
  <c r="F213" i="4" s="1"/>
  <c r="K213" i="4" s="1"/>
  <c r="C201" i="2"/>
  <c r="F206" i="4" s="1"/>
  <c r="K206" i="4" s="1"/>
  <c r="C200" i="2"/>
  <c r="F205" i="4" s="1"/>
  <c r="K205" i="4" s="1"/>
  <c r="C177" i="2"/>
  <c r="F182" i="4" s="1"/>
  <c r="K182" i="4" s="1"/>
  <c r="C176" i="2"/>
  <c r="F181" i="4" s="1"/>
  <c r="K181" i="4" s="1"/>
  <c r="C170" i="2"/>
  <c r="F175" i="4" s="1"/>
  <c r="K175" i="4" s="1"/>
  <c r="C169" i="2"/>
  <c r="F174" i="4" s="1"/>
  <c r="K174" i="4" s="1"/>
  <c r="C161" i="2"/>
  <c r="F166" i="4" s="1"/>
  <c r="K166" i="4" s="1"/>
  <c r="C160" i="2"/>
  <c r="F165" i="4" s="1"/>
  <c r="K165" i="4" s="1"/>
  <c r="C152" i="2"/>
  <c r="F157" i="4" s="1"/>
  <c r="K157" i="4" s="1"/>
  <c r="L157" i="4" s="1"/>
  <c r="C215" i="2"/>
  <c r="F220" i="4" s="1"/>
  <c r="K220" i="4" s="1"/>
  <c r="L220" i="4" s="1"/>
  <c r="C214" i="2"/>
  <c r="F219" i="4" s="1"/>
  <c r="K219" i="4" s="1"/>
  <c r="L219" i="4" s="1"/>
  <c r="C207" i="2"/>
  <c r="F212" i="4" s="1"/>
  <c r="K212" i="4" s="1"/>
  <c r="C206" i="2"/>
  <c r="F211" i="4" s="1"/>
  <c r="K211" i="4" s="1"/>
  <c r="C199" i="2"/>
  <c r="F204" i="4" s="1"/>
  <c r="K204" i="4" s="1"/>
  <c r="L204" i="4" s="1"/>
  <c r="C198" i="2"/>
  <c r="F203" i="4" s="1"/>
  <c r="K203" i="4" s="1"/>
  <c r="C191" i="2"/>
  <c r="F196" i="4" s="1"/>
  <c r="K196" i="4" s="1"/>
  <c r="C193" i="2"/>
  <c r="F198" i="4" s="1"/>
  <c r="K198" i="4" s="1"/>
  <c r="C192" i="2"/>
  <c r="F197" i="4" s="1"/>
  <c r="K197" i="4" s="1"/>
  <c r="C185" i="2"/>
  <c r="F190" i="4" s="1"/>
  <c r="K190" i="4" s="1"/>
  <c r="C184" i="2"/>
  <c r="F189" i="4" s="1"/>
  <c r="K189" i="4" s="1"/>
  <c r="C175" i="2"/>
  <c r="F180" i="4" s="1"/>
  <c r="K180" i="4" s="1"/>
  <c r="C174" i="2"/>
  <c r="F179" i="4" s="1"/>
  <c r="K179" i="4" s="1"/>
  <c r="C173" i="2"/>
  <c r="F178" i="4" s="1"/>
  <c r="K178" i="4" s="1"/>
  <c r="C167" i="2"/>
  <c r="F172" i="4" s="1"/>
  <c r="K172" i="4" s="1"/>
  <c r="C166" i="2"/>
  <c r="F171" i="4" s="1"/>
  <c r="K171" i="4" s="1"/>
  <c r="C168" i="2"/>
  <c r="F173" i="4" s="1"/>
  <c r="K173" i="4" s="1"/>
  <c r="C159" i="2"/>
  <c r="F164" i="4" s="1"/>
  <c r="K164" i="4" s="1"/>
  <c r="C158" i="2"/>
  <c r="F163" i="4" s="1"/>
  <c r="K163" i="4" s="1"/>
  <c r="C157" i="2"/>
  <c r="F162" i="4" s="1"/>
  <c r="K162" i="4" s="1"/>
  <c r="C135" i="2"/>
  <c r="F140" i="4" s="1"/>
  <c r="K140" i="4" s="1"/>
  <c r="C136" i="2"/>
  <c r="F141" i="4" s="1"/>
  <c r="K141" i="4" s="1"/>
  <c r="C127" i="2"/>
  <c r="F132" i="4" s="1"/>
  <c r="K132" i="4" s="1"/>
  <c r="C128" i="2"/>
  <c r="F133" i="4" s="1"/>
  <c r="K133" i="4" s="1"/>
  <c r="C121" i="2"/>
  <c r="F126" i="4" s="1"/>
  <c r="K126" i="4" s="1"/>
  <c r="C120" i="2"/>
  <c r="F125" i="4" s="1"/>
  <c r="K125" i="4" s="1"/>
  <c r="L125" i="4" s="1"/>
  <c r="C110" i="2"/>
  <c r="F115" i="4" s="1"/>
  <c r="K115" i="4" s="1"/>
  <c r="C111" i="2"/>
  <c r="F116" i="4" s="1"/>
  <c r="K116" i="4" s="1"/>
  <c r="L116" i="4" s="1"/>
  <c r="C104" i="2"/>
  <c r="F109" i="4" s="1"/>
  <c r="K109" i="4" s="1"/>
  <c r="L109" i="4" s="1"/>
  <c r="C103" i="2"/>
  <c r="F108" i="4" s="1"/>
  <c r="K108" i="4" s="1"/>
  <c r="L108" i="4" s="1"/>
  <c r="C95" i="2"/>
  <c r="F100" i="4" s="1"/>
  <c r="K100" i="4" s="1"/>
  <c r="C96" i="2"/>
  <c r="F101" i="4" s="1"/>
  <c r="K101" i="4" s="1"/>
  <c r="L101" i="4" s="1"/>
  <c r="C87" i="2"/>
  <c r="F92" i="4" s="1"/>
  <c r="K92" i="4" s="1"/>
  <c r="C86" i="2"/>
  <c r="F91" i="4" s="1"/>
  <c r="K91" i="4" s="1"/>
  <c r="C79" i="2"/>
  <c r="F84" i="4" s="1"/>
  <c r="K84" i="4" s="1"/>
  <c r="C78" i="2"/>
  <c r="F83" i="4" s="1"/>
  <c r="K83" i="4" s="1"/>
  <c r="L83" i="4" s="1"/>
  <c r="C71" i="2"/>
  <c r="F76" i="4" s="1"/>
  <c r="K76" i="4" s="1"/>
  <c r="C70" i="2"/>
  <c r="F75" i="4" s="1"/>
  <c r="K75" i="4" s="1"/>
  <c r="C61" i="2"/>
  <c r="F66" i="4" s="1"/>
  <c r="K66" i="4" s="1"/>
  <c r="C60" i="2"/>
  <c r="F65" i="4" s="1"/>
  <c r="K65" i="4" s="1"/>
  <c r="L65" i="4" s="1"/>
  <c r="C54" i="2"/>
  <c r="F59" i="4" s="1"/>
  <c r="K59" i="4" s="1"/>
  <c r="C53" i="2"/>
  <c r="F58" i="4" s="1"/>
  <c r="K58" i="4" s="1"/>
  <c r="C46" i="2"/>
  <c r="F51" i="4" s="1"/>
  <c r="K51" i="4" s="1"/>
  <c r="C45" i="2"/>
  <c r="F50" i="4" s="1"/>
  <c r="K50" i="4" s="1"/>
  <c r="L50" i="4" s="1"/>
  <c r="C37" i="2"/>
  <c r="F42" i="4" s="1"/>
  <c r="K42" i="4" s="1"/>
  <c r="C36" i="2"/>
  <c r="F41" i="4" s="1"/>
  <c r="K41" i="4" s="1"/>
  <c r="C30" i="2"/>
  <c r="F35" i="4" s="1"/>
  <c r="K35" i="4" s="1"/>
  <c r="C21" i="2"/>
  <c r="F26" i="4" s="1"/>
  <c r="K26" i="4" s="1"/>
  <c r="C23" i="2"/>
  <c r="F28" i="4" s="1"/>
  <c r="K28" i="4" s="1"/>
  <c r="C22" i="2"/>
  <c r="F27" i="4" s="1"/>
  <c r="K27" i="4" s="1"/>
  <c r="C15" i="2"/>
  <c r="F20" i="4" s="1"/>
  <c r="K20" i="4" s="1"/>
  <c r="C14" i="2"/>
  <c r="F19" i="4" s="1"/>
  <c r="K19" i="4" s="1"/>
  <c r="L19" i="4" s="1"/>
  <c r="C16" i="2"/>
  <c r="F21" i="4" s="1"/>
  <c r="K21" i="4" s="1"/>
  <c r="L21" i="4" s="1"/>
  <c r="C5" i="2"/>
  <c r="F10" i="4" s="1"/>
  <c r="K10" i="4" s="1"/>
  <c r="C6" i="2"/>
  <c r="F11" i="4" s="1"/>
  <c r="K11" i="4" s="1"/>
  <c r="C138" i="2"/>
  <c r="F143" i="4" s="1"/>
  <c r="K143" i="4" s="1"/>
  <c r="C137" i="2"/>
  <c r="F142" i="4" s="1"/>
  <c r="K142" i="4" s="1"/>
  <c r="C130" i="2"/>
  <c r="F135" i="4" s="1"/>
  <c r="K135" i="4" s="1"/>
  <c r="C129" i="2"/>
  <c r="F134" i="4" s="1"/>
  <c r="K134" i="4" s="1"/>
  <c r="C122" i="2"/>
  <c r="F127" i="4" s="1"/>
  <c r="K127" i="4" s="1"/>
  <c r="C124" i="2"/>
  <c r="F129" i="4" s="1"/>
  <c r="K129" i="4" s="1"/>
  <c r="L129" i="4" s="1"/>
  <c r="C123" i="2"/>
  <c r="F128" i="4" s="1"/>
  <c r="K128" i="4" s="1"/>
  <c r="C114" i="2"/>
  <c r="F119" i="4" s="1"/>
  <c r="K119" i="4" s="1"/>
  <c r="C113" i="2"/>
  <c r="F118" i="4" s="1"/>
  <c r="K118" i="4" s="1"/>
  <c r="C112" i="2"/>
  <c r="F117" i="4" s="1"/>
  <c r="K117" i="4" s="1"/>
  <c r="C106" i="2"/>
  <c r="F111" i="4" s="1"/>
  <c r="K111" i="4" s="1"/>
  <c r="C105" i="2"/>
  <c r="F110" i="4" s="1"/>
  <c r="K110" i="4" s="1"/>
  <c r="C98" i="2"/>
  <c r="F103" i="4" s="1"/>
  <c r="K103" i="4" s="1"/>
  <c r="C99" i="2"/>
  <c r="F104" i="4" s="1"/>
  <c r="K104" i="4" s="1"/>
  <c r="C97" i="2"/>
  <c r="F102" i="4" s="1"/>
  <c r="K102" i="4" s="1"/>
  <c r="C90" i="2"/>
  <c r="F95" i="4" s="1"/>
  <c r="K95" i="4" s="1"/>
  <c r="C89" i="2"/>
  <c r="F94" i="4" s="1"/>
  <c r="K94" i="4" s="1"/>
  <c r="C88" i="2"/>
  <c r="F93" i="4" s="1"/>
  <c r="K93" i="4" s="1"/>
  <c r="C81" i="2"/>
  <c r="F86" i="4" s="1"/>
  <c r="K86" i="4" s="1"/>
  <c r="C80" i="2"/>
  <c r="F85" i="4" s="1"/>
  <c r="K85" i="4" s="1"/>
  <c r="C73" i="2"/>
  <c r="F78" i="4" s="1"/>
  <c r="K78" i="4" s="1"/>
  <c r="C72" i="2"/>
  <c r="F77" i="4" s="1"/>
  <c r="K77" i="4" s="1"/>
  <c r="C63" i="2"/>
  <c r="F68" i="4" s="1"/>
  <c r="K68" i="4" s="1"/>
  <c r="C62" i="2"/>
  <c r="F67" i="4" s="1"/>
  <c r="K67" i="4" s="1"/>
  <c r="C65" i="2"/>
  <c r="F70" i="4" s="1"/>
  <c r="K70" i="4" s="1"/>
  <c r="C64" i="2"/>
  <c r="F69" i="4" s="1"/>
  <c r="K69" i="4" s="1"/>
  <c r="L69" i="4" s="1"/>
  <c r="C55" i="2"/>
  <c r="F60" i="4" s="1"/>
  <c r="K60" i="4" s="1"/>
  <c r="L60" i="4" s="1"/>
  <c r="C56" i="2"/>
  <c r="F61" i="4" s="1"/>
  <c r="K61" i="4" s="1"/>
  <c r="C47" i="2"/>
  <c r="F52" i="4" s="1"/>
  <c r="K52" i="4" s="1"/>
  <c r="C48" i="2"/>
  <c r="F53" i="4" s="1"/>
  <c r="K53" i="4" s="1"/>
  <c r="L53" i="4" s="1"/>
  <c r="C39" i="2"/>
  <c r="F44" i="4" s="1"/>
  <c r="K44" i="4" s="1"/>
  <c r="C38" i="2"/>
  <c r="F43" i="4" s="1"/>
  <c r="K43" i="4" s="1"/>
  <c r="C33" i="2"/>
  <c r="F38" i="4" s="1"/>
  <c r="K38" i="4" s="1"/>
  <c r="C32" i="2"/>
  <c r="F37" i="4" s="1"/>
  <c r="K37" i="4" s="1"/>
  <c r="L37" i="4" s="1"/>
  <c r="C31" i="2"/>
  <c r="F36" i="4" s="1"/>
  <c r="K36" i="4" s="1"/>
  <c r="C213" i="2"/>
  <c r="F218" i="4" s="1"/>
  <c r="K218" i="4" s="1"/>
  <c r="C212" i="2"/>
  <c r="F217" i="4" s="1"/>
  <c r="K217" i="4" s="1"/>
  <c r="C197" i="2"/>
  <c r="F202" i="4" s="1"/>
  <c r="K202" i="4" s="1"/>
  <c r="L202" i="4" s="1"/>
  <c r="C190" i="2"/>
  <c r="F195" i="4" s="1"/>
  <c r="K195" i="4" s="1"/>
  <c r="C189" i="2"/>
  <c r="F194" i="4" s="1"/>
  <c r="K194" i="4" s="1"/>
  <c r="C183" i="2"/>
  <c r="F188" i="4" s="1"/>
  <c r="K188" i="4" s="1"/>
  <c r="C182" i="2"/>
  <c r="F187" i="4" s="1"/>
  <c r="K187" i="4" s="1"/>
  <c r="C172" i="2"/>
  <c r="F177" i="4" s="1"/>
  <c r="K177" i="4" s="1"/>
  <c r="C165" i="2"/>
  <c r="F170" i="4" s="1"/>
  <c r="K170" i="4" s="1"/>
  <c r="C164" i="2"/>
  <c r="F169" i="4" s="1"/>
  <c r="K169" i="4" s="1"/>
  <c r="L169" i="4" s="1"/>
  <c r="C155" i="2"/>
  <c r="F160" i="4" s="1"/>
  <c r="K160" i="4" s="1"/>
  <c r="L160" i="4" s="1"/>
  <c r="C156" i="2"/>
  <c r="F161" i="4" s="1"/>
  <c r="K161" i="4" s="1"/>
  <c r="C150" i="2"/>
  <c r="F155" i="4" s="1"/>
  <c r="K155" i="4" s="1"/>
  <c r="C149" i="2"/>
  <c r="F154" i="4" s="1"/>
  <c r="K154" i="4" s="1"/>
  <c r="L154" i="4" s="1"/>
  <c r="C143" i="2"/>
  <c r="F148" i="4" s="1"/>
  <c r="K148" i="4" s="1"/>
  <c r="L148" i="4" s="1"/>
  <c r="C134" i="2"/>
  <c r="F139" i="4" s="1"/>
  <c r="K139" i="4" s="1"/>
  <c r="C133" i="2"/>
  <c r="F138" i="4" s="1"/>
  <c r="K138" i="4" s="1"/>
  <c r="C126" i="2"/>
  <c r="F131" i="4" s="1"/>
  <c r="K131" i="4" s="1"/>
  <c r="L131" i="4" s="1"/>
  <c r="C118" i="2"/>
  <c r="F123" i="4" s="1"/>
  <c r="K123" i="4" s="1"/>
  <c r="L123" i="4" s="1"/>
  <c r="C119" i="2"/>
  <c r="F124" i="4" s="1"/>
  <c r="K124" i="4" s="1"/>
  <c r="C109" i="2"/>
  <c r="F114" i="4" s="1"/>
  <c r="K114" i="4" s="1"/>
  <c r="C108" i="2"/>
  <c r="F113" i="4" s="1"/>
  <c r="K113" i="4" s="1"/>
  <c r="C102" i="2"/>
  <c r="F107" i="4" s="1"/>
  <c r="K107" i="4" s="1"/>
  <c r="C101" i="2"/>
  <c r="F106" i="4" s="1"/>
  <c r="K106" i="4" s="1"/>
  <c r="C94" i="2"/>
  <c r="F99" i="4" s="1"/>
  <c r="K99" i="4" s="1"/>
  <c r="C93" i="2"/>
  <c r="F98" i="4" s="1"/>
  <c r="K98" i="4" s="1"/>
  <c r="C85" i="2"/>
  <c r="F90" i="4" s="1"/>
  <c r="K90" i="4" s="1"/>
  <c r="L90" i="4" s="1"/>
  <c r="C84" i="2"/>
  <c r="F89" i="4" s="1"/>
  <c r="K89" i="4" s="1"/>
  <c r="C77" i="2"/>
  <c r="F82" i="4" s="1"/>
  <c r="K82" i="4" s="1"/>
  <c r="C76" i="2"/>
  <c r="F81" i="4" s="1"/>
  <c r="K81" i="4" s="1"/>
  <c r="L81" i="4" s="1"/>
  <c r="C69" i="2"/>
  <c r="F74" i="4" s="1"/>
  <c r="K74" i="4" s="1"/>
  <c r="L74" i="4" s="1"/>
  <c r="C68" i="2"/>
  <c r="F73" i="4" s="1"/>
  <c r="K73" i="4" s="1"/>
  <c r="C59" i="2"/>
  <c r="F64" i="4" s="1"/>
  <c r="K64" i="4" s="1"/>
  <c r="C51" i="2"/>
  <c r="F56" i="4" s="1"/>
  <c r="K56" i="4" s="1"/>
  <c r="C52" i="2"/>
  <c r="F57" i="4" s="1"/>
  <c r="K57" i="4" s="1"/>
  <c r="C42" i="2"/>
  <c r="F47" i="4" s="1"/>
  <c r="K47" i="4" s="1"/>
  <c r="C44" i="2"/>
  <c r="F49" i="4" s="1"/>
  <c r="K49" i="4" s="1"/>
  <c r="C43" i="2"/>
  <c r="F48" i="4" s="1"/>
  <c r="K48" i="4" s="1"/>
  <c r="C34" i="2"/>
  <c r="F39" i="4" s="1"/>
  <c r="K39" i="4" s="1"/>
  <c r="C35" i="2"/>
  <c r="F40" i="4" s="1"/>
  <c r="K40" i="4" s="1"/>
  <c r="C27" i="2"/>
  <c r="F32" i="4" s="1"/>
  <c r="K32" i="4" s="1"/>
  <c r="C29" i="2"/>
  <c r="F34" i="4" s="1"/>
  <c r="K34" i="4" s="1"/>
  <c r="C28" i="2"/>
  <c r="F33" i="4" s="1"/>
  <c r="K33" i="4" s="1"/>
  <c r="C20" i="2"/>
  <c r="F25" i="4" s="1"/>
  <c r="K25" i="4" s="1"/>
  <c r="L25" i="4" s="1"/>
  <c r="C13" i="2"/>
  <c r="F18" i="4" s="1"/>
  <c r="K18" i="4" s="1"/>
  <c r="C3" i="2"/>
  <c r="F8" i="4" s="1"/>
  <c r="K8" i="4" s="1"/>
  <c r="L8" i="4" s="1"/>
  <c r="C4" i="2"/>
  <c r="F9" i="4" s="1"/>
  <c r="K9" i="4" s="1"/>
  <c r="C163" i="2"/>
  <c r="F168" i="4" s="1"/>
  <c r="K168" i="4" s="1"/>
  <c r="C162" i="2"/>
  <c r="F167" i="4" s="1"/>
  <c r="K167" i="4" s="1"/>
  <c r="C154" i="2"/>
  <c r="F159" i="4" s="1"/>
  <c r="K159" i="4" s="1"/>
  <c r="L159" i="4" s="1"/>
  <c r="C153" i="2"/>
  <c r="F158" i="4" s="1"/>
  <c r="K158" i="4" s="1"/>
  <c r="L158" i="4" s="1"/>
  <c r="C147" i="2"/>
  <c r="F152" i="4" s="1"/>
  <c r="K152" i="4" s="1"/>
  <c r="C146" i="2"/>
  <c r="F151" i="4" s="1"/>
  <c r="K151" i="4" s="1"/>
  <c r="C148" i="2"/>
  <c r="F153" i="4" s="1"/>
  <c r="K153" i="4" s="1"/>
  <c r="C139" i="2"/>
  <c r="F144" i="4" s="1"/>
  <c r="K144" i="4" s="1"/>
  <c r="C142" i="2"/>
  <c r="F147" i="4" s="1"/>
  <c r="K147" i="4" s="1"/>
  <c r="C141" i="2"/>
  <c r="F146" i="4" s="1"/>
  <c r="K146" i="4" s="1"/>
  <c r="C140" i="2"/>
  <c r="F145" i="4" s="1"/>
  <c r="K145" i="4" s="1"/>
  <c r="C131" i="2"/>
  <c r="F136" i="4" s="1"/>
  <c r="K136" i="4" s="1"/>
  <c r="L136" i="4" s="1"/>
  <c r="C132" i="2"/>
  <c r="F137" i="4" s="1"/>
  <c r="K137" i="4" s="1"/>
  <c r="C117" i="2"/>
  <c r="F122" i="4" s="1"/>
  <c r="K122" i="4" s="1"/>
  <c r="C116" i="2"/>
  <c r="F121" i="4" s="1"/>
  <c r="K121" i="4" s="1"/>
  <c r="C115" i="2"/>
  <c r="F120" i="4" s="1"/>
  <c r="K120" i="4" s="1"/>
  <c r="L120" i="4" s="1"/>
  <c r="C100" i="2"/>
  <c r="F105" i="4" s="1"/>
  <c r="K105" i="4" s="1"/>
  <c r="C91" i="2"/>
  <c r="F96" i="4" s="1"/>
  <c r="K96" i="4" s="1"/>
  <c r="C92" i="2"/>
  <c r="F97" i="4" s="1"/>
  <c r="K97" i="4" s="1"/>
  <c r="C83" i="2"/>
  <c r="F88" i="4" s="1"/>
  <c r="K88" i="4" s="1"/>
  <c r="C82" i="2"/>
  <c r="F87" i="4" s="1"/>
  <c r="K87" i="4" s="1"/>
  <c r="C75" i="2"/>
  <c r="F80" i="4" s="1"/>
  <c r="K80" i="4" s="1"/>
  <c r="C74" i="2"/>
  <c r="F79" i="4" s="1"/>
  <c r="K79" i="4" s="1"/>
  <c r="C67" i="2"/>
  <c r="F72" i="4" s="1"/>
  <c r="K72" i="4" s="1"/>
  <c r="L72" i="4" s="1"/>
  <c r="C66" i="2"/>
  <c r="F71" i="4" s="1"/>
  <c r="K71" i="4" s="1"/>
  <c r="C58" i="2"/>
  <c r="F63" i="4" s="1"/>
  <c r="K63" i="4" s="1"/>
  <c r="L63" i="4" s="1"/>
  <c r="C57" i="2"/>
  <c r="F62" i="4" s="1"/>
  <c r="K62" i="4" s="1"/>
  <c r="L62" i="4" s="1"/>
  <c r="C50" i="2"/>
  <c r="F55" i="4" s="1"/>
  <c r="K55" i="4" s="1"/>
  <c r="C49" i="2"/>
  <c r="F54" i="4" s="1"/>
  <c r="K54" i="4" s="1"/>
  <c r="C41" i="2"/>
  <c r="F46" i="4" s="1"/>
  <c r="K46" i="4" s="1"/>
  <c r="C40" i="2"/>
  <c r="F45" i="4" s="1"/>
  <c r="K45" i="4" s="1"/>
  <c r="L45" i="4" s="1"/>
  <c r="C8" i="2"/>
  <c r="F13" i="4" s="1"/>
  <c r="K13" i="4" s="1"/>
  <c r="L13" i="4" s="1"/>
  <c r="C7" i="2"/>
  <c r="F12" i="4" s="1"/>
  <c r="K12" i="4" s="1"/>
  <c r="L12" i="4" s="1"/>
  <c r="C25" i="2"/>
  <c r="F30" i="4" s="1"/>
  <c r="K30" i="4" s="1"/>
  <c r="C26" i="2"/>
  <c r="F31" i="4" s="1"/>
  <c r="K31" i="4" s="1"/>
  <c r="L31" i="4" s="1"/>
  <c r="C18" i="2"/>
  <c r="F23" i="4" s="1"/>
  <c r="K23" i="4" s="1"/>
  <c r="L23" i="4" s="1"/>
  <c r="C19" i="2"/>
  <c r="F24" i="4" s="1"/>
  <c r="K24" i="4" s="1"/>
  <c r="L24" i="4" s="1"/>
  <c r="C11" i="2"/>
  <c r="F16" i="4" s="1"/>
  <c r="K16" i="4" s="1"/>
  <c r="L16" i="4" s="1"/>
  <c r="C12" i="2"/>
  <c r="F17" i="4" s="1"/>
  <c r="K17" i="4" s="1"/>
  <c r="L17" i="4" s="1"/>
  <c r="C9" i="2"/>
  <c r="F14" i="4" s="1"/>
  <c r="K14" i="4" s="1"/>
  <c r="L14" i="4" s="1"/>
  <c r="C10" i="2"/>
  <c r="F15" i="4" s="1"/>
  <c r="K15" i="4" s="1"/>
  <c r="L15" i="4" s="1"/>
  <c r="L56" i="4"/>
  <c r="L93" i="4"/>
  <c r="L104" i="4"/>
  <c r="L168" i="4"/>
  <c r="L97" i="4"/>
  <c r="L141" i="4"/>
  <c r="L193" i="4"/>
  <c r="L47" i="4"/>
  <c r="L95" i="4"/>
  <c r="L214" i="4"/>
  <c r="L110" i="4"/>
  <c r="L174" i="4"/>
  <c r="L111" i="4"/>
  <c r="L189" i="4"/>
  <c r="L207" i="4"/>
  <c r="L88" i="4"/>
  <c r="L140" i="4"/>
  <c r="L145" i="4"/>
  <c r="L205" i="4"/>
  <c r="L211" i="4"/>
  <c r="L150" i="4"/>
  <c r="L79" i="4"/>
  <c r="L210" i="4"/>
  <c r="L162" i="4"/>
  <c r="L175" i="4"/>
  <c r="L52" i="4"/>
  <c r="L173" i="4"/>
  <c r="L33" i="4"/>
  <c r="L46" i="4"/>
  <c r="L55" i="4"/>
  <c r="L87" i="4"/>
  <c r="L119" i="4"/>
  <c r="L151" i="4"/>
  <c r="L179" i="4"/>
  <c r="L203" i="4"/>
  <c r="L40" i="4"/>
  <c r="L164" i="4"/>
  <c r="L196" i="4"/>
  <c r="L106" i="4"/>
  <c r="L134" i="4"/>
  <c r="L194" i="4"/>
  <c r="L39" i="4"/>
  <c r="L163" i="4"/>
  <c r="L215" i="4"/>
  <c r="L117" i="4"/>
  <c r="L161" i="4"/>
  <c r="L177" i="4"/>
  <c r="L30" i="4"/>
  <c r="L166" i="4"/>
  <c r="L71" i="4"/>
  <c r="L135" i="4"/>
  <c r="L92" i="4"/>
  <c r="L172" i="4"/>
  <c r="L26" i="4"/>
  <c r="L51" i="4"/>
  <c r="L115" i="4"/>
  <c r="L44" i="4"/>
  <c r="L29" i="4"/>
  <c r="L61" i="4"/>
  <c r="L153" i="4"/>
  <c r="L185" i="4"/>
  <c r="L217" i="4"/>
  <c r="L143" i="4"/>
  <c r="L32" i="4"/>
  <c r="L100" i="4"/>
  <c r="L208" i="4"/>
  <c r="L34" i="4"/>
  <c r="L98" i="4"/>
  <c r="L91" i="4"/>
  <c r="L155" i="4"/>
  <c r="L22" i="4"/>
  <c r="L54" i="4"/>
  <c r="L118" i="4"/>
  <c r="L27" i="4"/>
  <c r="L48" i="4"/>
  <c r="L84" i="4"/>
  <c r="L152" i="4"/>
  <c r="L184" i="4"/>
  <c r="L200" i="4"/>
  <c r="L216" i="4"/>
  <c r="L18" i="4"/>
  <c r="L82" i="4"/>
  <c r="L170" i="4"/>
  <c r="L43" i="4"/>
  <c r="L36" i="4"/>
  <c r="L64" i="4"/>
  <c r="L89" i="4"/>
  <c r="L137" i="4"/>
  <c r="L149" i="4"/>
  <c r="L165" i="4"/>
  <c r="L181" i="4"/>
  <c r="L197" i="4"/>
  <c r="L130" i="4"/>
  <c r="L198" i="4"/>
  <c r="L35" i="4"/>
  <c r="L103" i="4"/>
  <c r="L124" i="4"/>
  <c r="L156" i="4"/>
  <c r="L122" i="4"/>
  <c r="L77" i="4"/>
  <c r="L142" i="4"/>
  <c r="L206" i="4"/>
  <c r="L171" i="4"/>
  <c r="L128" i="4"/>
  <c r="L191" i="4"/>
  <c r="L221" i="4"/>
  <c r="L42" i="4"/>
  <c r="L96" i="4"/>
  <c r="L144" i="4"/>
  <c r="L9" i="4"/>
  <c r="L41" i="4"/>
  <c r="L85" i="4"/>
  <c r="L105" i="4"/>
  <c r="L167" i="4"/>
  <c r="L218" i="4"/>
  <c r="L70" i="4"/>
  <c r="L112" i="4"/>
  <c r="L176" i="4"/>
  <c r="L126" i="4"/>
  <c r="L190" i="4"/>
  <c r="L68" i="4"/>
  <c r="L180" i="4"/>
  <c r="L133" i="4"/>
  <c r="L213" i="4"/>
  <c r="L102" i="4"/>
  <c r="L222" i="4"/>
  <c r="L38" i="4"/>
  <c r="L78" i="4"/>
  <c r="L138" i="4"/>
  <c r="L178" i="4"/>
  <c r="L75" i="4"/>
  <c r="L9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<sst xmlns="http://schemas.openxmlformats.org/spreadsheetml/2006/main" count="6109" uniqueCount="1252">
  <si>
    <t>Nós</t>
  </si>
  <si>
    <t>Águas do Imperador</t>
  </si>
  <si>
    <t>Antigo Fórum</t>
  </si>
  <si>
    <t>Avenida Ipiranga</t>
  </si>
  <si>
    <t>Avenida Koeler</t>
  </si>
  <si>
    <t>Avenida Piabanha</t>
  </si>
  <si>
    <t>Avenida Portugal</t>
  </si>
  <si>
    <t>Avenida Tiradentes</t>
  </si>
  <si>
    <t>Bairro Bingen</t>
  </si>
  <si>
    <t>Bairro Capela</t>
  </si>
  <si>
    <t>Bairro Castelânea</t>
  </si>
  <si>
    <t>Bairro Moinho Preto</t>
  </si>
  <si>
    <t>Bairro Mosela</t>
  </si>
  <si>
    <t>Bairro Valparaíso</t>
  </si>
  <si>
    <t>Banca de Jornal</t>
  </si>
  <si>
    <t>Bar Bárbaros</t>
  </si>
  <si>
    <t>Avenida Barão do Rio Branco</t>
  </si>
  <si>
    <t>Batalhão</t>
  </si>
  <si>
    <t>Boate Big House</t>
  </si>
  <si>
    <t>Bosque do Imperador</t>
  </si>
  <si>
    <t>BR 040</t>
  </si>
  <si>
    <t>Capelas funerárias</t>
  </si>
  <si>
    <t>Casa Barão de Mauá</t>
  </si>
  <si>
    <t>Catedral</t>
  </si>
  <si>
    <t>Cemitério</t>
  </si>
  <si>
    <t>Centro</t>
  </si>
  <si>
    <t>Chafariz</t>
  </si>
  <si>
    <t>Colégio Nossa Senhora do Amparo</t>
  </si>
  <si>
    <t>Colégio Terra Santa</t>
  </si>
  <si>
    <t>Correio</t>
  </si>
  <si>
    <t>Cruz Vermelha</t>
  </si>
  <si>
    <t>Duas Pontes</t>
  </si>
  <si>
    <t>FAETERJ</t>
  </si>
  <si>
    <t>Hiper Shopping</t>
  </si>
  <si>
    <t>Hospital Santa Teresa</t>
  </si>
  <si>
    <t>Hospital SMH</t>
  </si>
  <si>
    <t>Hotel Grande Hotel</t>
  </si>
  <si>
    <t>Hotel Solar Imperial</t>
  </si>
  <si>
    <t>Igreja do Rosário</t>
  </si>
  <si>
    <t>Igreja do Sagrado</t>
  </si>
  <si>
    <t>Igreja Santo Antônio</t>
  </si>
  <si>
    <t>INSS</t>
  </si>
  <si>
    <t>Instituto Teológico</t>
  </si>
  <si>
    <t>Lago do Quitandinha</t>
  </si>
  <si>
    <t>Loja Aladim</t>
  </si>
  <si>
    <t>Loja Americanas</t>
  </si>
  <si>
    <t>Loja Casa &amp; Vídeo</t>
  </si>
  <si>
    <t>Loja Patrone</t>
  </si>
  <si>
    <t>Mercado PetroFrutas</t>
  </si>
  <si>
    <t>Museu Cocco Barçante</t>
  </si>
  <si>
    <t>Museu de Cera</t>
  </si>
  <si>
    <t>Museu Imperial</t>
  </si>
  <si>
    <t>Obelisco</t>
  </si>
  <si>
    <t>Padaria Sul América</t>
  </si>
  <si>
    <t>Palácio de Cristal</t>
  </si>
  <si>
    <t>Palácio Itaboraí</t>
  </si>
  <si>
    <t>Palácio Quitandinha</t>
  </si>
  <si>
    <t>Pizzaria Sotilles</t>
  </si>
  <si>
    <t>Ponte Bingen</t>
  </si>
  <si>
    <t>Ponte Fones</t>
  </si>
  <si>
    <t>Ponte Mosela</t>
  </si>
  <si>
    <t>Praça 14 Bis</t>
  </si>
  <si>
    <t>Praça da Águia</t>
  </si>
  <si>
    <t>Praça da Bandeira</t>
  </si>
  <si>
    <t>Praça da Liberdade</t>
  </si>
  <si>
    <t>Praça Dom Pedro</t>
  </si>
  <si>
    <t>Praça dos Expedicionários</t>
  </si>
  <si>
    <t>Praça Oswaldo Cruz</t>
  </si>
  <si>
    <t>Praça Pasteur</t>
  </si>
  <si>
    <t>Pronto Socorro do Alto da Serra</t>
  </si>
  <si>
    <t>Relógio das Flores</t>
  </si>
  <si>
    <t>Restaurante D'Angelo</t>
  </si>
  <si>
    <t>Restaurante El Sombrero</t>
  </si>
  <si>
    <t>Restaurante Gehren</t>
  </si>
  <si>
    <t>Restaurante Marowill</t>
  </si>
  <si>
    <t>Restaurante Odin</t>
  </si>
  <si>
    <t>Rodoviária</t>
  </si>
  <si>
    <t>Rua 13 de Maio</t>
  </si>
  <si>
    <t>Rua 24 de Maio</t>
  </si>
  <si>
    <t>Rua Alberto Torres</t>
  </si>
  <si>
    <t>Rua Caldas Viana</t>
  </si>
  <si>
    <t>Rua Chile</t>
  </si>
  <si>
    <t>Rua da Batata Frita</t>
  </si>
  <si>
    <t>Rua da Feira</t>
  </si>
  <si>
    <t>Rua da Imperatiz</t>
  </si>
  <si>
    <t>Rua Dr. Nelson de Sá Erp</t>
  </si>
  <si>
    <t>Rua Dr. Thouzet</t>
  </si>
  <si>
    <t>Rua General Osório</t>
  </si>
  <si>
    <t>Rua Gonçalves Dias</t>
  </si>
  <si>
    <t>Rua Marechal Deodoro</t>
  </si>
  <si>
    <t>Rua Nilo Peçanha</t>
  </si>
  <si>
    <t>Rua Padre Siqueira</t>
  </si>
  <si>
    <t>Rua Paulino Afonso</t>
  </si>
  <si>
    <t>Rua Paulo Barbosa</t>
  </si>
  <si>
    <t>Rua Rockfeller</t>
  </si>
  <si>
    <t>Rua Santos Dumont</t>
  </si>
  <si>
    <t>Rua Teresa</t>
  </si>
  <si>
    <t>Rua Visconde do Bom Retiro</t>
  </si>
  <si>
    <t>Shopping Pátio Petrópolis</t>
  </si>
  <si>
    <t>Tabacaria Be Happy</t>
  </si>
  <si>
    <t>Teatro Dom Pedro</t>
  </si>
  <si>
    <t>Tribuna de Petrópolis</t>
  </si>
  <si>
    <t>Universidade Estácio</t>
  </si>
  <si>
    <t>UPA Centro</t>
  </si>
  <si>
    <t>Vila Itararé</t>
  </si>
  <si>
    <t>Vila Militar</t>
  </si>
  <si>
    <t>Vila São José</t>
  </si>
  <si>
    <t>Volkswagen</t>
  </si>
  <si>
    <t>Origem</t>
  </si>
  <si>
    <t>Destino</t>
  </si>
  <si>
    <t>Latitude (graus)</t>
  </si>
  <si>
    <t>Longetude (graus)</t>
  </si>
  <si>
    <t>Latitude (radianos)</t>
  </si>
  <si>
    <t>Longetude (radianos)</t>
  </si>
  <si>
    <t>Raio da Terra (m)</t>
  </si>
  <si>
    <t>Constantes</t>
  </si>
  <si>
    <t>Valor</t>
  </si>
  <si>
    <t>Distância (m)</t>
  </si>
  <si>
    <t>Nome</t>
  </si>
  <si>
    <t>Fórmula</t>
  </si>
  <si>
    <t>d=2r⋅arcsin(sin2(2Δϕ​)+cos(ϕ1​)cos(ϕ2​)sin2(2Δλ​)​)</t>
  </si>
  <si>
    <t>Fórmula de Haversine</t>
  </si>
  <si>
    <t>O que faz?</t>
  </si>
  <si>
    <t>Calcula a distância entre dois pontos na superfície da Terra</t>
  </si>
  <si>
    <t>Tem rio?</t>
  </si>
  <si>
    <t>Quando alaga?</t>
  </si>
  <si>
    <t>Fator Chuva</t>
  </si>
  <si>
    <t>Classificação</t>
  </si>
  <si>
    <t>Sem chuva</t>
  </si>
  <si>
    <t>Chuva fraca</t>
  </si>
  <si>
    <t>Chuva moderada</t>
  </si>
  <si>
    <t>Chuva forte</t>
  </si>
  <si>
    <t>Garoa</t>
  </si>
  <si>
    <t>Chuva muito forte</t>
  </si>
  <si>
    <t>Fator de Presença</t>
  </si>
  <si>
    <t>Não</t>
  </si>
  <si>
    <t>Sim</t>
  </si>
  <si>
    <t>Chuva extrema</t>
  </si>
  <si>
    <t>Permitido Caminhão?</t>
  </si>
  <si>
    <t>Largura da via</t>
  </si>
  <si>
    <t>Fluxo</t>
  </si>
  <si>
    <t>Tipo</t>
  </si>
  <si>
    <t>Comunidade?</t>
  </si>
  <si>
    <t>Fator da via</t>
  </si>
  <si>
    <t>Estreita</t>
  </si>
  <si>
    <t>Larga</t>
  </si>
  <si>
    <t>Intermediária</t>
  </si>
  <si>
    <t>Fator de fluxo</t>
  </si>
  <si>
    <t>Muito baixo</t>
  </si>
  <si>
    <t>Baixo</t>
  </si>
  <si>
    <t>Médio</t>
  </si>
  <si>
    <t>Alto</t>
  </si>
  <si>
    <t>Muito alto</t>
  </si>
  <si>
    <t>Coletora</t>
  </si>
  <si>
    <t>Arterial</t>
  </si>
  <si>
    <t>Rodovia</t>
  </si>
  <si>
    <t>Fator tipo da via</t>
  </si>
  <si>
    <t>Residencial</t>
  </si>
  <si>
    <t>Fator veículo</t>
  </si>
  <si>
    <t>Automóvel</t>
  </si>
  <si>
    <t>Caminhão</t>
  </si>
  <si>
    <t>Tipo de veículo:</t>
  </si>
  <si>
    <t>Clima:</t>
  </si>
  <si>
    <t>Fator horário</t>
  </si>
  <si>
    <t>Início</t>
  </si>
  <si>
    <t>Término</t>
  </si>
  <si>
    <t>Madrugada</t>
  </si>
  <si>
    <t>Pico da manhã</t>
  </si>
  <si>
    <t>Manhã</t>
  </si>
  <si>
    <t>Almoço</t>
  </si>
  <si>
    <t>Tarde</t>
  </si>
  <si>
    <t>Noite</t>
  </si>
  <si>
    <t>Horário:</t>
  </si>
  <si>
    <t>Pico da noite</t>
  </si>
  <si>
    <t>Classificação:</t>
  </si>
  <si>
    <t>Vai poder passar?</t>
  </si>
  <si>
    <t>Final</t>
  </si>
  <si>
    <t>Via Alagada?</t>
  </si>
  <si>
    <t>Chuva</t>
  </si>
  <si>
    <t>Criminalidade</t>
  </si>
  <si>
    <t>Peso</t>
  </si>
  <si>
    <t>Fórmula do peso</t>
  </si>
  <si>
    <t>Peso = distância * (1*largura+2*hora+3*tipo+4*fluxo)/10 * (largura/10) * (tipo /10) * (fluxo/10)</t>
  </si>
  <si>
    <t>ID</t>
  </si>
  <si>
    <t>ID Origem</t>
  </si>
  <si>
    <t>ID Destino</t>
  </si>
  <si>
    <t>Latitude corrigida</t>
  </si>
  <si>
    <t>Longetude corrigida</t>
  </si>
  <si>
    <t>0.0000000000000</t>
  </si>
  <si>
    <t xml:space="preserve"> 0.0000000000000</t>
  </si>
  <si>
    <t>-22.5121505921226</t>
  </si>
  <si>
    <t>-22.5116203375656</t>
  </si>
  <si>
    <t>-22.5105647780475</t>
  </si>
  <si>
    <t>-22.5100989417064</t>
  </si>
  <si>
    <t>-22.5097693863256</t>
  </si>
  <si>
    <t>-22.5091424855757</t>
  </si>
  <si>
    <t>-22.5045385186758</t>
  </si>
  <si>
    <t>-22.5052026094760</t>
  </si>
  <si>
    <t>-22.5037802618479</t>
  </si>
  <si>
    <t>-22.5043353260774</t>
  </si>
  <si>
    <t>-22.5047119755358</t>
  </si>
  <si>
    <t>-22.5052371857166</t>
  </si>
  <si>
    <t>-22.5043749734371</t>
  </si>
  <si>
    <t>-22.5036266276050</t>
  </si>
  <si>
    <t>-22.5027841142066</t>
  </si>
  <si>
    <t>-22.5039809772952</t>
  </si>
  <si>
    <t>-22.5040776179622</t>
  </si>
  <si>
    <t>-22.5175620456895</t>
  </si>
  <si>
    <t>-22.5189792961361</t>
  </si>
  <si>
    <t>-22.5207037630913</t>
  </si>
  <si>
    <t>-22.5208226910536</t>
  </si>
  <si>
    <t>-22.5205154602750</t>
  </si>
  <si>
    <t>-22.5197820679131</t>
  </si>
  <si>
    <t>-22.5189396529646</t>
  </si>
  <si>
    <t>-22.5126362440446</t>
  </si>
  <si>
    <t>-22.5128939362083</t>
  </si>
  <si>
    <t>-22.5124875752701</t>
  </si>
  <si>
    <t>-22.5133002959520</t>
  </si>
  <si>
    <t>-22.5148365232128</t>
  </si>
  <si>
    <t>-22.5165015760590</t>
  </si>
  <si>
    <t>-22.5113403425164</t>
  </si>
  <si>
    <t>-22.5111198150430</t>
  </si>
  <si>
    <t>-22.5109761003204</t>
  </si>
  <si>
    <t>-22.5111346820747</t>
  </si>
  <si>
    <t>-22.5112982193183</t>
  </si>
  <si>
    <t>-22.5110033565724</t>
  </si>
  <si>
    <t>-22.5109314991693</t>
  </si>
  <si>
    <t>-22.5109091985883</t>
  </si>
  <si>
    <t>-22.5104656640638</t>
  </si>
  <si>
    <t>-22.5104408855568</t>
  </si>
  <si>
    <t>-22.5108497303548</t>
  </si>
  <si>
    <t>-22.5104780533157</t>
  </si>
  <si>
    <t>-22.5107778728718</t>
  </si>
  <si>
    <t>-22.5113254755068</t>
  </si>
  <si>
    <t>-22.5117566181366</t>
  </si>
  <si>
    <t>-22.5113229976717</t>
  </si>
  <si>
    <t>-22.5112164507207</t>
  </si>
  <si>
    <t>-22.5114493672047</t>
  </si>
  <si>
    <t>-22.5113304311768</t>
  </si>
  <si>
    <t>-22.5338645030358</t>
  </si>
  <si>
    <t>-22.5341791364024</t>
  </si>
  <si>
    <t>-22.5345383625979</t>
  </si>
  <si>
    <t>-22.5347142592218</t>
  </si>
  <si>
    <t>-22.5339066193548</t>
  </si>
  <si>
    <t>-22.5301829916400</t>
  </si>
  <si>
    <t>-22.5311442571105</t>
  </si>
  <si>
    <t>-22.5316521395161</t>
  </si>
  <si>
    <t>-22.5300987567181</t>
  </si>
  <si>
    <t>-22.5291672141563</t>
  </si>
  <si>
    <t>-22.5279482713154</t>
  </si>
  <si>
    <t>-22.5274800160229</t>
  </si>
  <si>
    <t>-22.5259092432902</t>
  </si>
  <si>
    <t>-22.5250173139146</t>
  </si>
  <si>
    <t>-22.5242715574332</t>
  </si>
  <si>
    <t>-22.5236174687006</t>
  </si>
  <si>
    <t>-22.5230500937692</t>
  </si>
  <si>
    <t>-22.4854073701762</t>
  </si>
  <si>
    <t>-22.4847431843561</t>
  </si>
  <si>
    <t>-22.4840988219330</t>
  </si>
  <si>
    <t>-22.4847134446180</t>
  </si>
  <si>
    <t>-22.4841583016669</t>
  </si>
  <si>
    <t>-22.4852289325078</t>
  </si>
  <si>
    <t>-22.4862004236974</t>
  </si>
  <si>
    <t>-22.4867753846590</t>
  </si>
  <si>
    <t>-22.4866465143063</t>
  </si>
  <si>
    <t>-22.4874098215691</t>
  </si>
  <si>
    <t>-22.4881235596169</t>
  </si>
  <si>
    <t>-22.4882920805633</t>
  </si>
  <si>
    <t>-22.4877369519646</t>
  </si>
  <si>
    <t>-22.4880640815868</t>
  </si>
  <si>
    <t>-22.4876378216233</t>
  </si>
  <si>
    <t>-22.4883614714816</t>
  </si>
  <si>
    <t>-22.4887877292164</t>
  </si>
  <si>
    <t>-22.4892139856384</t>
  </si>
  <si>
    <t>-22.4896600665346</t>
  </si>
  <si>
    <t>-22.4902151874197</t>
  </si>
  <si>
    <t>-22.4914245502095</t>
  </si>
  <si>
    <t>-22.4920193149177</t>
  </si>
  <si>
    <t>-22.4927032911718</t>
  </si>
  <si>
    <t>-22.4930403217058</t>
  </si>
  <si>
    <t>-22.4937143803111</t>
  </si>
  <si>
    <t>-22.4949633625768</t>
  </si>
  <si>
    <t>-22.4957563613381</t>
  </si>
  <si>
    <t>-22.4966707823924</t>
  </si>
  <si>
    <t>-22.4975306796040</t>
  </si>
  <si>
    <t>-22.4983831372701</t>
  </si>
  <si>
    <t>-22.4997212869645</t>
  </si>
  <si>
    <t>-22.5002515871508</t>
  </si>
  <si>
    <t>-22.5004646978679</t>
  </si>
  <si>
    <t>-22.5005142584528</t>
  </si>
  <si>
    <t>-22.5016442349690</t>
  </si>
  <si>
    <t>-22.5017284872342</t>
  </si>
  <si>
    <t>-22.5027642903001</t>
  </si>
  <si>
    <t>-22.5032598871094</t>
  </si>
  <si>
    <t>-22.5220193979771</t>
  </si>
  <si>
    <t>-22.5209168422845</t>
  </si>
  <si>
    <t>-22.5206641204145</t>
  </si>
  <si>
    <t>-22.5200793896100</t>
  </si>
  <si>
    <t>-22.5215114801554</t>
  </si>
  <si>
    <t>-22.5218633063574</t>
  </si>
  <si>
    <t>-22.5217840216577</t>
  </si>
  <si>
    <t>-22.5215213907649</t>
  </si>
  <si>
    <t>-22.5213975080951</t>
  </si>
  <si>
    <t>-22.5212884912537</t>
  </si>
  <si>
    <t>-22.5219425910117</t>
  </si>
  <si>
    <t>-22.5303266863882</t>
  </si>
  <si>
    <t>-22.5295983011228</t>
  </si>
  <si>
    <t>-22.5323086676630</t>
  </si>
  <si>
    <t>-22.5297519064984</t>
  </si>
  <si>
    <t>-22.5298807366816</t>
  </si>
  <si>
    <t>-22.5152379217160</t>
  </si>
  <si>
    <t>-22.5150000560770</t>
  </si>
  <si>
    <t>-22.5147275011959</t>
  </si>
  <si>
    <t>-22.5131764059128</t>
  </si>
  <si>
    <t>-22.5133845411152</t>
  </si>
  <si>
    <t>-22.5134935641914</t>
  </si>
  <si>
    <t>-22.5139891225449</t>
  </si>
  <si>
    <t>-22.5133597631313</t>
  </si>
  <si>
    <t>-22.5136521430578</t>
  </si>
  <si>
    <t>-22.5135183421513</t>
  </si>
  <si>
    <t>-22.5137462991737</t>
  </si>
  <si>
    <t>-22.5137289546308</t>
  </si>
  <si>
    <t>-22.5134142746900</t>
  </si>
  <si>
    <t>-22.5129806594246</t>
  </si>
  <si>
    <t>-22.5126188993625</t>
  </si>
  <si>
    <t>-22.5116674163235</t>
  </si>
  <si>
    <t>-22.5110950366532</t>
  </si>
  <si>
    <t>-22.5108224740725</t>
  </si>
  <si>
    <t>-22.5103392936316</t>
  </si>
  <si>
    <t>-22.5098263771619</t>
  </si>
  <si>
    <t>-22.5170764110742</t>
  </si>
  <si>
    <t>-22.5173142731398</t>
  </si>
  <si>
    <t>-22.5172250749132</t>
  </si>
  <si>
    <t>-22.5168286376540</t>
  </si>
  <si>
    <t>-22.5162438906209</t>
  </si>
  <si>
    <t>-22.5155649863011</t>
  </si>
  <si>
    <t>-22.5154163206766</t>
  </si>
  <si>
    <t>-22.5158821390992</t>
  </si>
  <si>
    <t>-22.5158325840224</t>
  </si>
  <si>
    <t>-22.5159069166309</t>
  </si>
  <si>
    <t>-22.5158722280852</t>
  </si>
  <si>
    <t>-22.5161596472004</t>
  </si>
  <si>
    <t>-22.5165461754130</t>
  </si>
  <si>
    <t>-22.5168435040717</t>
  </si>
  <si>
    <t>-22.5168038602875</t>
  </si>
  <si>
    <t>-22.5159614271850</t>
  </si>
  <si>
    <t>-22.5151982774713</t>
  </si>
  <si>
    <t>-22.5150149226915</t>
  </si>
  <si>
    <t>-22.5153543766191</t>
  </si>
  <si>
    <t>-22.5152775659494</t>
  </si>
  <si>
    <t>-22.5145168902378</t>
  </si>
  <si>
    <t>-22.5142022120907</t>
  </si>
  <si>
    <t>-22.5138701887021</t>
  </si>
  <si>
    <t>-22.5165759083077</t>
  </si>
  <si>
    <t>-22.5174356817447</t>
  </si>
  <si>
    <t>-22.5187810801646</t>
  </si>
  <si>
    <t>-22.5199199269189</t>
  </si>
  <si>
    <t>-22.5208350793771</t>
  </si>
  <si>
    <t>-22.5216626168731</t>
  </si>
  <si>
    <t>-22.5221878776226</t>
  </si>
  <si>
    <t>-22.5053265066604</t>
  </si>
  <si>
    <t>-22.5331113619868</t>
  </si>
  <si>
    <t>-22.5320262370691</t>
  </si>
  <si>
    <t>-22.5310352479605</t>
  </si>
  <si>
    <t>-22.5308717340741</t>
  </si>
  <si>
    <t>-22.5301136217080</t>
  </si>
  <si>
    <t>-22.5291176638441</t>
  </si>
  <si>
    <t>-22.5283050361871</t>
  </si>
  <si>
    <t>-22.5273140203794</t>
  </si>
  <si>
    <t>-22.5262437153214</t>
  </si>
  <si>
    <t>-22.5248513153119</t>
  </si>
  <si>
    <t>-22.5232111392922</t>
  </si>
  <si>
    <t>-22.5220664731928</t>
  </si>
  <si>
    <t>-22.5077796480523</t>
  </si>
  <si>
    <t>-22.5062606878566</t>
  </si>
  <si>
    <t>-22.5105375217091</t>
  </si>
  <si>
    <t>-22.5100146945409</t>
  </si>
  <si>
    <t>-22.5093828391636</t>
  </si>
  <si>
    <t>-22.5088005385140</t>
  </si>
  <si>
    <t>-22.5085477944901</t>
  </si>
  <si>
    <t>-22.5081835449371</t>
  </si>
  <si>
    <t>-22.5108621195722</t>
  </si>
  <si>
    <t>-22.5112214063947</t>
  </si>
  <si>
    <t>-22.5115583918071</t>
  </si>
  <si>
    <t>-22.5118854650984</t>
  </si>
  <si>
    <t>-22.5120836909589</t>
  </si>
  <si>
    <t>-22.5119226324689</t>
  </si>
  <si>
    <t>-22.5119275881175</t>
  </si>
  <si>
    <t>-22.5120291788756</t>
  </si>
  <si>
    <t>-22.5120514792759</t>
  </si>
  <si>
    <t>-22.5123661623190</t>
  </si>
  <si>
    <t>-22.5127328786623</t>
  </si>
  <si>
    <t>-22.5131516278917</t>
  </si>
  <si>
    <t>-22.5068429992024</t>
  </si>
  <si>
    <t>-22.5059682922987</t>
  </si>
  <si>
    <t>-22.5058047487509</t>
  </si>
  <si>
    <t>-22.5054504037338</t>
  </si>
  <si>
    <t>-22.5151123127459</t>
  </si>
  <si>
    <t>-22.5160134599665</t>
  </si>
  <si>
    <t>-22.5162538016082</t>
  </si>
  <si>
    <t>-22.5162736235806</t>
  </si>
  <si>
    <t>-22.5059162557362</t>
  </si>
  <si>
    <t>-22.5068083083824</t>
  </si>
  <si>
    <t>-22.5195342993437</t>
  </si>
  <si>
    <t>-22.5190982255825</t>
  </si>
  <si>
    <t>-22.5177503525301</t>
  </si>
  <si>
    <t>-22.5167097062544</t>
  </si>
  <si>
    <t>-22.5167592610167</t>
  </si>
  <si>
    <t>-22.5210506360286</t>
  </si>
  <si>
    <t>-22.5210109934512</t>
  </si>
  <si>
    <t>-22.5213578656172</t>
  </si>
  <si>
    <t>-22.5215957203135</t>
  </si>
  <si>
    <t>-22.5219624121681</t>
  </si>
  <si>
    <t>-22.5220615179077</t>
  </si>
  <si>
    <t>-22.5210035604667</t>
  </si>
  <si>
    <t>-22.5216229744713</t>
  </si>
  <si>
    <t>-22.5226016429392</t>
  </si>
  <si>
    <t>-22.5230030188886</t>
  </si>
  <si>
    <t>-22.5234688117386</t>
  </si>
  <si>
    <t>-22.5239321254092</t>
  </si>
  <si>
    <t>-22.5251932226639</t>
  </si>
  <si>
    <t>-22.5262932666646</t>
  </si>
  <si>
    <t>-22.5270216693580</t>
  </si>
  <si>
    <t>-22.5275716851734</t>
  </si>
  <si>
    <t>-22.5280027771193</t>
  </si>
  <si>
    <t>-22.5285527890282</t>
  </si>
  <si>
    <t>-22.5277451131295</t>
  </si>
  <si>
    <t>-22.5274378977442</t>
  </si>
  <si>
    <t>-22.5269126569544</t>
  </si>
  <si>
    <t>-22.5260405546286</t>
  </si>
  <si>
    <t>-22.5269077018431</t>
  </si>
  <si>
    <t>-22.5070635334974</t>
  </si>
  <si>
    <t>-22.5072865453481</t>
  </si>
  <si>
    <t>-22.5094001842518</t>
  </si>
  <si>
    <t>-22.5079927471692</t>
  </si>
  <si>
    <t>-22.5080274376921</t>
  </si>
  <si>
    <t>-22.5067934408855</t>
  </si>
  <si>
    <t>-22.5063325476873</t>
  </si>
  <si>
    <t>-22.5040726620322</t>
  </si>
  <si>
    <t>-22.5081463765614</t>
  </si>
  <si>
    <t>-22.5081661996964</t>
  </si>
  <si>
    <t>-22.5278665125692</t>
  </si>
  <si>
    <t>-22.5277599783727</t>
  </si>
  <si>
    <t>-22.5277302478846</t>
  </si>
  <si>
    <t>-22.5265410231138</t>
  </si>
  <si>
    <t>-22.5242913782555</t>
  </si>
  <si>
    <t>-22.5092862022043</t>
  </si>
  <si>
    <t>-22.5078391176063</t>
  </si>
  <si>
    <t>-22.5236818866678</t>
  </si>
  <si>
    <t>-22.5242765126390</t>
  </si>
  <si>
    <t>-22.5245763022624</t>
  </si>
  <si>
    <t>-22.5251882674910</t>
  </si>
  <si>
    <t>-22.5263031769311</t>
  </si>
  <si>
    <t>-22.5267317952769</t>
  </si>
  <si>
    <t>-22.5270712204222</t>
  </si>
  <si>
    <t>-22.5278640350307</t>
  </si>
  <si>
    <t>-22.5298068810473</t>
  </si>
  <si>
    <t>-22.5292940368305</t>
  </si>
  <si>
    <t>-22.5286672246464</t>
  </si>
  <si>
    <t>-22.5277674109938</t>
  </si>
  <si>
    <t>-22.5267788688870</t>
  </si>
  <si>
    <t>-22.5265583660486</t>
  </si>
  <si>
    <t>-22.5261148817460</t>
  </si>
  <si>
    <t>-22.5254062949336</t>
  </si>
  <si>
    <t>-22.5251560588623</t>
  </si>
  <si>
    <t>-22.5250941191707</t>
  </si>
  <si>
    <t>-22.5252948036707</t>
  </si>
  <si>
    <t>-22.5308147519168</t>
  </si>
  <si>
    <t>-22.5317239861446</t>
  </si>
  <si>
    <t>-22.5321872721276</t>
  </si>
  <si>
    <t>-22.5331658657532</t>
  </si>
  <si>
    <t>-22.5337059473668</t>
  </si>
  <si>
    <t>-22.5338570707429</t>
  </si>
  <si>
    <t>-22.5341667492755</t>
  </si>
  <si>
    <t>-22.5340057165252</t>
  </si>
  <si>
    <t>-22.5333987452401</t>
  </si>
  <si>
    <t>-22.5329255535306</t>
  </si>
  <si>
    <t>-22.5118953763982</t>
  </si>
  <si>
    <t>-22.5291052762632</t>
  </si>
  <si>
    <t>-22.5298658716666</t>
  </si>
  <si>
    <t>-22.5304431285745</t>
  </si>
  <si>
    <t>-22.5310302929971</t>
  </si>
  <si>
    <t>-22.5318354722184</t>
  </si>
  <si>
    <t>-22.5321897495886</t>
  </si>
  <si>
    <t>-22.5327719516846</t>
  </si>
  <si>
    <t>-22.5331609108663</t>
  </si>
  <si>
    <t>-22.5100692074186</t>
  </si>
  <si>
    <t>-22.5101955780977</t>
  </si>
  <si>
    <t>-22.5069594611773</t>
  </si>
  <si>
    <t>-22.5119597998294</t>
  </si>
  <si>
    <t>-22.5058815646838</t>
  </si>
  <si>
    <t>-22.5050093296468</t>
  </si>
  <si>
    <t>-22.5144053901888</t>
  </si>
  <si>
    <t>-22.5158573615630</t>
  </si>
  <si>
    <t>-22.5160258487212</t>
  </si>
  <si>
    <t>-22.5162042466648</t>
  </si>
  <si>
    <t>-22.5257152720410</t>
  </si>
  <si>
    <t>-22.5260324015432</t>
  </si>
  <si>
    <t>-22.5266319725190</t>
  </si>
  <si>
    <t>-22.5268499976832</t>
  </si>
  <si>
    <t>-22.5278013761910</t>
  </si>
  <si>
    <t>-22.5287906313375</t>
  </si>
  <si>
    <t>-22.5295636160143</t>
  </si>
  <si>
    <t>-22.5297469514889</t>
  </si>
  <si>
    <t>-22.5251387157515</t>
  </si>
  <si>
    <t>-22.5246679733397</t>
  </si>
  <si>
    <t>-22.5240089312686</t>
  </si>
  <si>
    <t>-22.5237363941550</t>
  </si>
  <si>
    <t>-22.5229138243339</t>
  </si>
  <si>
    <t>-22.5214966142398</t>
  </si>
  <si>
    <t>-22.5213132678161</t>
  </si>
  <si>
    <t>-22.5213776868576</t>
  </si>
  <si>
    <t>-22.5217939322477</t>
  </si>
  <si>
    <t>-22.5215907650115</t>
  </si>
  <si>
    <t>-22.5220813390471</t>
  </si>
  <si>
    <t>-22.5105449552565</t>
  </si>
  <si>
    <t>-22.5099552259226</t>
  </si>
  <si>
    <t>-22.5097991206779</t>
  </si>
  <si>
    <t>-22.5096132808711</t>
  </si>
  <si>
    <t>-22.5111676613575</t>
  </si>
  <si>
    <t>-22.5112642970018</t>
  </si>
  <si>
    <t>-22.5110536807672</t>
  </si>
  <si>
    <t>-22.5110239466847</t>
  </si>
  <si>
    <t>-22.5111899618968</t>
  </si>
  <si>
    <t>-22.5115319030488</t>
  </si>
  <si>
    <t>-22.5115542035293</t>
  </si>
  <si>
    <t>-22.5111148593654</t>
  </si>
  <si>
    <t>-22.5105325660106</t>
  </si>
  <si>
    <t>-22.5102054895186</t>
  </si>
  <si>
    <t>-22.5104309741528</t>
  </si>
  <si>
    <t>-22.5105945122287</t>
  </si>
  <si>
    <t>-22.5103541607473</t>
  </si>
  <si>
    <t>-22.5102352237771</t>
  </si>
  <si>
    <t>-22.5103492050422</t>
  </si>
  <si>
    <t>-22.5106564584191</t>
  </si>
  <si>
    <t>-22.5108299076046</t>
  </si>
  <si>
    <t>-22.5110876031354</t>
  </si>
  <si>
    <t>-22.5109141542733</t>
  </si>
  <si>
    <t>-22.5110900809747</t>
  </si>
  <si>
    <t>-22.5112957414827</t>
  </si>
  <si>
    <t>-22.5329404182163</t>
  </si>
  <si>
    <t>-22.5335795981878</t>
  </si>
  <si>
    <t>-22.5339041419246</t>
  </si>
  <si>
    <t>-22.5340552650838</t>
  </si>
  <si>
    <t>-22.5336118048522</t>
  </si>
  <si>
    <t>-22.5334705909600</t>
  </si>
  <si>
    <t>-22.5328933467061</t>
  </si>
  <si>
    <t>-22.5326456016511</t>
  </si>
  <si>
    <t>-22.5042585092856</t>
  </si>
  <si>
    <t>-22.5043254142357</t>
  </si>
  <si>
    <t>-22.5041693026351</t>
  </si>
  <si>
    <t>-22.5091722200628</t>
  </si>
  <si>
    <t>-22.5094447858969</t>
  </si>
  <si>
    <t>-22.5097148733298</t>
  </si>
  <si>
    <t>-22.5085750512208</t>
  </si>
  <si>
    <t>-22.5104284963016</t>
  </si>
  <si>
    <t>-22.5098511557791</t>
  </si>
  <si>
    <t>-22.5093803612937</t>
  </si>
  <si>
    <t>-22.5080571724190</t>
  </si>
  <si>
    <t>-22.5225545670287</t>
  </si>
  <si>
    <t>-22.5222894599620</t>
  </si>
  <si>
    <t>-22.5217419007654</t>
  </si>
  <si>
    <t>-22.5216948254391</t>
  </si>
  <si>
    <t>-22.5211646074980</t>
  </si>
  <si>
    <t>-22.5206096108382</t>
  </si>
  <si>
    <t>-22.5198663091255</t>
  </si>
  <si>
    <t>-22.5186051632518</t>
  </si>
  <si>
    <t>-22.5179807802887</t>
  </si>
  <si>
    <t>-22.5176933649607</t>
  </si>
  <si>
    <t>-22.5173018845007</t>
  </si>
  <si>
    <t>-22.5163702556554</t>
  </si>
  <si>
    <t>-22.5155129533507</t>
  </si>
  <si>
    <t>-22.5150223559981</t>
  </si>
  <si>
    <t>-22.5148092677166</t>
  </si>
  <si>
    <t>-22.5146630790545</t>
  </si>
  <si>
    <t>-22.5269275222873</t>
  </si>
  <si>
    <t>-22.5131417166819</t>
  </si>
  <si>
    <t>-22.5106589362662</t>
  </si>
  <si>
    <t>-22.5208078250639</t>
  </si>
  <si>
    <t>-22.5213355667185</t>
  </si>
  <si>
    <t>-22.5218608287113</t>
  </si>
  <si>
    <t>-22.5224728059675</t>
  </si>
  <si>
    <t>-22.5038892924974</t>
  </si>
  <si>
    <t>-22.5036984888044</t>
  </si>
  <si>
    <t>-22.5032673210481</t>
  </si>
  <si>
    <t>-22.5030988183412</t>
  </si>
  <si>
    <t>-22.5037455702596</t>
  </si>
  <si>
    <t>-22.5041123094672</t>
  </si>
  <si>
    <t>-22.5044542681225</t>
  </si>
  <si>
    <t>-22.5087633703042</t>
  </si>
  <si>
    <t>-22.5199654163685</t>
  </si>
  <si>
    <t>-22.5184738448470</t>
  </si>
  <si>
    <t>-22.5178098177949</t>
  </si>
  <si>
    <t>-22.5171457875523</t>
  </si>
  <si>
    <t>-22.5166898843446</t>
  </si>
  <si>
    <t>-22.5150694335974</t>
  </si>
  <si>
    <t>-22.5140485894279</t>
  </si>
  <si>
    <t>-22.5128196019796</t>
  </si>
  <si>
    <t>-22.5112536182711</t>
  </si>
  <si>
    <t>-22.5103814171218</t>
  </si>
  <si>
    <t>-22.5095984136757</t>
  </si>
  <si>
    <t>-22.5085527502597</t>
  </si>
  <si>
    <t>-22.5065902516003</t>
  </si>
  <si>
    <t>-22.5045930337124</t>
  </si>
  <si>
    <t>-22.5023777235560</t>
  </si>
  <si>
    <t>-22.5004696539272</t>
  </si>
  <si>
    <t>-22.4977437945130</t>
  </si>
  <si>
    <t>-22.4965790927490</t>
  </si>
  <si>
    <t>-22.4943735668007</t>
  </si>
  <si>
    <t>-22.4926091207288</t>
  </si>
  <si>
    <t>-22.4909586494026</t>
  </si>
  <si>
    <t>-22.4899624094356</t>
  </si>
  <si>
    <t>-22.4897096309899</t>
  </si>
  <si>
    <t>-22.4890702481544</t>
  </si>
  <si>
    <t>-22.4878410387464</t>
  </si>
  <si>
    <t>-22.5196631390552</t>
  </si>
  <si>
    <t>-22.5186522396307</t>
  </si>
  <si>
    <t>-22.5180229014503</t>
  </si>
  <si>
    <t>-22.5138354996453</t>
  </si>
  <si>
    <t>-22.5133399407411</t>
  </si>
  <si>
    <t>-22.5078886755485</t>
  </si>
  <si>
    <t>-22.5262957442313</t>
  </si>
  <si>
    <t>-22.5227205692680</t>
  </si>
  <si>
    <t>-22.5231214030493</t>
  </si>
  <si>
    <t>-22.5236417030247</t>
  </si>
  <si>
    <t>-22.5238993746681</t>
  </si>
  <si>
    <t>-22.5240628968079</t>
  </si>
  <si>
    <t>-22.5244295821148</t>
  </si>
  <si>
    <t>-22.5248458183107</t>
  </si>
  <si>
    <t>-22.5259855062390</t>
  </si>
  <si>
    <t>-22.5269220253688</t>
  </si>
  <si>
    <t>-22.5267739137709</t>
  </si>
  <si>
    <t>-22.5276559216364</t>
  </si>
  <si>
    <t>-22.5273933019057</t>
  </si>
  <si>
    <t>-22.5280820582503</t>
  </si>
  <si>
    <t>-22.5287757662051</t>
  </si>
  <si>
    <t>-22.5313424553447</t>
  </si>
  <si>
    <t>-22.5317636256478</t>
  </si>
  <si>
    <t>-22.5324077659801</t>
  </si>
  <si>
    <t>-22.5323284873321</t>
  </si>
  <si>
    <t>-22.5325019093155</t>
  </si>
  <si>
    <t>-22.5089318661087</t>
  </si>
  <si>
    <t>-22.5099651373608</t>
  </si>
  <si>
    <t>-22.5102773472991</t>
  </si>
  <si>
    <t>-22.5108745087885</t>
  </si>
  <si>
    <t>-22.5113155641661</t>
  </si>
  <si>
    <t>-22.5118879429234</t>
  </si>
  <si>
    <t>-22.5122174932540</t>
  </si>
  <si>
    <t>-22.5114617563684</t>
  </si>
  <si>
    <t>-22.5104359298549</t>
  </si>
  <si>
    <t>-22.5122740670059</t>
  </si>
  <si>
    <t>-22.5115802762060</t>
  </si>
  <si>
    <t>-22.5174926694203</t>
  </si>
  <si>
    <t>-22.5189000097816</t>
  </si>
  <si>
    <t>-22.5115856479443</t>
  </si>
  <si>
    <t>-22.5044071869085</t>
  </si>
  <si>
    <t>-22.5068727341840</t>
  </si>
  <si>
    <t>-22.5060698874355</t>
  </si>
  <si>
    <t>-22.5053438522574</t>
  </si>
  <si>
    <t>-22.5079481450557</t>
  </si>
  <si>
    <t>-22.5075120347426</t>
  </si>
  <si>
    <t>-22.5076111508436</t>
  </si>
  <si>
    <t>-22.5093099467611</t>
  </si>
  <si>
    <t>-22.5083485293956</t>
  </si>
  <si>
    <t>-22.5077141885042</t>
  </si>
  <si>
    <t>-22.5075169905493</t>
  </si>
  <si>
    <t>-22.5084164665306</t>
  </si>
  <si>
    <t>-22.5085577060292</t>
  </si>
  <si>
    <t>-22.5095934579436</t>
  </si>
  <si>
    <t>-22.5108968093751</t>
  </si>
  <si>
    <t>-22.5123934182969</t>
  </si>
  <si>
    <t>-22.5134687862271</t>
  </si>
  <si>
    <t>-22.5140163782028</t>
  </si>
  <si>
    <t>-22.5145813124472</t>
  </si>
  <si>
    <t>-22.5154881757484</t>
  </si>
  <si>
    <t>-22.5150446559155</t>
  </si>
  <si>
    <t>-22.5151660665141</t>
  </si>
  <si>
    <t>-22.5164262697328</t>
  </si>
  <si>
    <t>-22.5185184435645</t>
  </si>
  <si>
    <t>-22.5210555913499</t>
  </si>
  <si>
    <t>-22.5226611061164</t>
  </si>
  <si>
    <t>-22.5081092081757</t>
  </si>
  <si>
    <t>-22.5073237139549</t>
  </si>
  <si>
    <t>-22.5090185918105</t>
  </si>
  <si>
    <t>-22.5092465562527</t>
  </si>
  <si>
    <t>-22.5096777053657</t>
  </si>
  <si>
    <t>-22.5104111513425</t>
  </si>
  <si>
    <t>-22.5154708314241</t>
  </si>
  <si>
    <t>-22.5149356340627</t>
  </si>
  <si>
    <t>-22.5145367124593</t>
  </si>
  <si>
    <t>-22.5139197444823</t>
  </si>
  <si>
    <t>-22.5127700458050</t>
  </si>
  <si>
    <t>-22.5124479302366</t>
  </si>
  <si>
    <t>-22.5077647806598</t>
  </si>
  <si>
    <t>-22.5090359369443</t>
  </si>
  <si>
    <t>-22.5074376976202</t>
  </si>
  <si>
    <t>-22.5069074249879</t>
  </si>
  <si>
    <t>-22.5060797991522</t>
  </si>
  <si>
    <t>-22.5052100433102</t>
  </si>
  <si>
    <t>-22.5079555787422</t>
  </si>
  <si>
    <t>-22.5075070789357</t>
  </si>
  <si>
    <t>-22.5075938055311</t>
  </si>
  <si>
    <t xml:space="preserve"> -43.1712591648102</t>
  </si>
  <si>
    <t xml:space="preserve"> -43.1708139181137</t>
  </si>
  <si>
    <t xml:space="preserve"> -43.1708621978760</t>
  </si>
  <si>
    <t xml:space="preserve"> -43.1699931621552</t>
  </si>
  <si>
    <t xml:space="preserve"> -43.1698027253151</t>
  </si>
  <si>
    <t xml:space="preserve"> -43.1695425510407</t>
  </si>
  <si>
    <t xml:space="preserve"> -43.1693011522293</t>
  </si>
  <si>
    <t xml:space="preserve"> -43.1817251443863</t>
  </si>
  <si>
    <t xml:space="preserve"> -43.1809687614441</t>
  </si>
  <si>
    <t xml:space="preserve"> -43.1824868917465</t>
  </si>
  <si>
    <t xml:space="preserve"> -43.1825566291809</t>
  </si>
  <si>
    <t xml:space="preserve"> -43.1828892230988</t>
  </si>
  <si>
    <t xml:space="preserve"> -43.1795366872048</t>
  </si>
  <si>
    <t xml:space="preserve"> -43.1764841079712</t>
  </si>
  <si>
    <t xml:space="preserve"> -43.1737911701202</t>
  </si>
  <si>
    <t xml:space="preserve"> -43.1707763671875</t>
  </si>
  <si>
    <t xml:space="preserve"> -43.1895089149475</t>
  </si>
  <si>
    <t xml:space="preserve"> -43.1901982426643</t>
  </si>
  <si>
    <t xml:space="preserve"> -43.1914347410202</t>
  </si>
  <si>
    <t xml:space="preserve"> -43.1927865743637</t>
  </si>
  <si>
    <t xml:space="preserve"> -43.1888329982758</t>
  </si>
  <si>
    <t xml:space="preserve"> -43.1903564929962</t>
  </si>
  <si>
    <t xml:space="preserve"> -43.1906139850617</t>
  </si>
  <si>
    <t xml:space="preserve"> -43.1905066967011</t>
  </si>
  <si>
    <t xml:space="preserve"> -43.1908285617828</t>
  </si>
  <si>
    <t xml:space="preserve"> -43.2154190540314</t>
  </si>
  <si>
    <t xml:space="preserve"> -43.2161271572113</t>
  </si>
  <si>
    <t xml:space="preserve"> -43.2176828384399</t>
  </si>
  <si>
    <t xml:space="preserve"> -43.2210624217987</t>
  </si>
  <si>
    <t xml:space="preserve"> -43.2239270210266</t>
  </si>
  <si>
    <t xml:space="preserve"> -43.2248389720917</t>
  </si>
  <si>
    <t xml:space="preserve"> -43.2140403985977</t>
  </si>
  <si>
    <t xml:space="preserve"> -43.2133349776268</t>
  </si>
  <si>
    <t xml:space="preserve"> -43.2119804620743</t>
  </si>
  <si>
    <t xml:space="preserve"> -43.2100734114647</t>
  </si>
  <si>
    <t xml:space="preserve"> -43.2092285156250</t>
  </si>
  <si>
    <t xml:space="preserve"> -43.2087001204491</t>
  </si>
  <si>
    <t xml:space="preserve"> -43.2078498601913</t>
  </si>
  <si>
    <t xml:space="preserve"> -43.2073134183884</t>
  </si>
  <si>
    <t xml:space="preserve"> -43.2066079974175</t>
  </si>
  <si>
    <t xml:space="preserve"> -43.2058784365654</t>
  </si>
  <si>
    <t xml:space="preserve"> -43.2046043872833</t>
  </si>
  <si>
    <t xml:space="preserve"> -43.2041805982590</t>
  </si>
  <si>
    <t xml:space="preserve"> -43.2035556435585</t>
  </si>
  <si>
    <t xml:space="preserve"> -43.2033357024193</t>
  </si>
  <si>
    <t xml:space="preserve"> -43.2016754150391</t>
  </si>
  <si>
    <t xml:space="preserve"> -43.2011818885803</t>
  </si>
  <si>
    <t xml:space="preserve"> -43.2006374001503</t>
  </si>
  <si>
    <t xml:space="preserve"> -43.1997656822205</t>
  </si>
  <si>
    <t xml:space="preserve"> -43.1991031765938</t>
  </si>
  <si>
    <t xml:space="preserve"> -43.1991219520569</t>
  </si>
  <si>
    <t xml:space="preserve"> -43.1982448697090</t>
  </si>
  <si>
    <t xml:space="preserve"> -43.1978130340576</t>
  </si>
  <si>
    <t xml:space="preserve"> -43.1969654560089</t>
  </si>
  <si>
    <t xml:space="preserve"> -43.1954795122147</t>
  </si>
  <si>
    <t xml:space="preserve"> -43.1957986950874</t>
  </si>
  <si>
    <t xml:space="preserve"> -43.1950959563255</t>
  </si>
  <si>
    <t xml:space="preserve"> -43.1945219635963</t>
  </si>
  <si>
    <t xml:space="preserve"> -43.1920194625855</t>
  </si>
  <si>
    <t xml:space="preserve"> -43.1905710697174</t>
  </si>
  <si>
    <t xml:space="preserve"> -43.1896698474884</t>
  </si>
  <si>
    <t xml:space="preserve"> -43.1886559724808</t>
  </si>
  <si>
    <t xml:space="preserve"> -43.1870386004448</t>
  </si>
  <si>
    <t xml:space="preserve"> -43.1861588358879</t>
  </si>
  <si>
    <t xml:space="preserve"> -43.1856599450111</t>
  </si>
  <si>
    <t xml:space="preserve"> -43.1847587227821</t>
  </si>
  <si>
    <t xml:space="preserve"> -43.1836777925491</t>
  </si>
  <si>
    <t xml:space="preserve"> -43.2142710685730</t>
  </si>
  <si>
    <t xml:space="preserve"> -43.2142281532288</t>
  </si>
  <si>
    <t xml:space="preserve"> -43.2131016254425</t>
  </si>
  <si>
    <t xml:space="preserve"> -43.2120180130005</t>
  </si>
  <si>
    <t xml:space="preserve"> -43.2114708423615</t>
  </si>
  <si>
    <t xml:space="preserve"> -43.2109987735748</t>
  </si>
  <si>
    <t xml:space="preserve"> -43.2107090950012</t>
  </si>
  <si>
    <t xml:space="preserve"> -43.2087457180023</t>
  </si>
  <si>
    <t xml:space="preserve"> -43.2072436809540</t>
  </si>
  <si>
    <t xml:space="preserve"> -43.2080590724945</t>
  </si>
  <si>
    <t xml:space="preserve"> -43.2075119018555</t>
  </si>
  <si>
    <t xml:space="preserve"> -43.2059454917908</t>
  </si>
  <si>
    <t xml:space="preserve"> -43.2048940658569</t>
  </si>
  <si>
    <t xml:space="preserve"> -43.2044327259064</t>
  </si>
  <si>
    <t xml:space="preserve"> -43.2036280632019</t>
  </si>
  <si>
    <t xml:space="preserve"> -43.2042932510376</t>
  </si>
  <si>
    <t xml:space="preserve"> -43.2056021690369</t>
  </si>
  <si>
    <t xml:space="preserve"> -43.2068145275116</t>
  </si>
  <si>
    <t xml:space="preserve"> -43.2056128978729</t>
  </si>
  <si>
    <t xml:space="preserve"> -43.2048833370209</t>
  </si>
  <si>
    <t xml:space="preserve"> -43.2047438621521</t>
  </si>
  <si>
    <t xml:space="preserve"> -43.2036066055298</t>
  </si>
  <si>
    <t xml:space="preserve"> -43.2022440433502</t>
  </si>
  <si>
    <t xml:space="preserve"> -43.2015252113342</t>
  </si>
  <si>
    <t xml:space="preserve"> -43.2013213634491</t>
  </si>
  <si>
    <t xml:space="preserve"> -43.2005703449249</t>
  </si>
  <si>
    <t xml:space="preserve"> -43.2000339031219</t>
  </si>
  <si>
    <t xml:space="preserve"> -43.2001358270645</t>
  </si>
  <si>
    <t xml:space="preserve"> -43.1998300552368</t>
  </si>
  <si>
    <t xml:space="preserve"> -43.1992238759995</t>
  </si>
  <si>
    <t xml:space="preserve"> -43.1990629434586</t>
  </si>
  <si>
    <t xml:space="preserve"> -43.1982797384262</t>
  </si>
  <si>
    <t xml:space="preserve"> -43.1970030069351</t>
  </si>
  <si>
    <t xml:space="preserve"> -43.1959515810013</t>
  </si>
  <si>
    <t xml:space="preserve"> -43.1945514678955</t>
  </si>
  <si>
    <t xml:space="preserve"> -43.1938380002976</t>
  </si>
  <si>
    <t xml:space="preserve"> -43.1922501325607</t>
  </si>
  <si>
    <t xml:space="preserve"> -43.1913650035858</t>
  </si>
  <si>
    <t xml:space="preserve"> -43.1951737403870</t>
  </si>
  <si>
    <t xml:space="preserve"> -43.1959730386734</t>
  </si>
  <si>
    <t xml:space="preserve"> -43.1951791048050</t>
  </si>
  <si>
    <t xml:space="preserve"> -43.1945970654488</t>
  </si>
  <si>
    <t xml:space="preserve"> -43.1965363025665</t>
  </si>
  <si>
    <t xml:space="preserve"> -43.1967669725418</t>
  </si>
  <si>
    <t xml:space="preserve"> -43.1971317529678</t>
  </si>
  <si>
    <t xml:space="preserve"> -43.1972122192383</t>
  </si>
  <si>
    <t xml:space="preserve"> -43.1974750757217</t>
  </si>
  <si>
    <t xml:space="preserve"> -43.1976306438446</t>
  </si>
  <si>
    <t xml:space="preserve"> -43.1978613138199</t>
  </si>
  <si>
    <t xml:space="preserve"> -43.1975984573364</t>
  </si>
  <si>
    <t xml:space="preserve"> -43.2154083251953</t>
  </si>
  <si>
    <t xml:space="preserve"> -43.2167655229568</t>
  </si>
  <si>
    <t xml:space="preserve"> -43.2170498371124</t>
  </si>
  <si>
    <t xml:space="preserve"> -43.2135200500488</t>
  </si>
  <si>
    <t xml:space="preserve"> -43.2127583026886</t>
  </si>
  <si>
    <t xml:space="preserve"> -43.1999427080154</t>
  </si>
  <si>
    <t xml:space="preserve"> -43.1989502906799</t>
  </si>
  <si>
    <t xml:space="preserve"> -43.1981885433197</t>
  </si>
  <si>
    <t xml:space="preserve"> -43.1988805532456</t>
  </si>
  <si>
    <t xml:space="preserve"> -43.1979310512543</t>
  </si>
  <si>
    <t xml:space="preserve"> -43.1978505849838</t>
  </si>
  <si>
    <t xml:space="preserve"> -43.1970244646072</t>
  </si>
  <si>
    <t xml:space="preserve"> -43.1964236497879</t>
  </si>
  <si>
    <t xml:space="preserve"> -43.1957423686981</t>
  </si>
  <si>
    <t xml:space="preserve"> -43.1952488422394</t>
  </si>
  <si>
    <t xml:space="preserve"> -43.1947928667068</t>
  </si>
  <si>
    <t xml:space="preserve"> -43.1945300102234</t>
  </si>
  <si>
    <t xml:space="preserve"> -43.1946185231209</t>
  </si>
  <si>
    <t xml:space="preserve"> -43.1950530409813</t>
  </si>
  <si>
    <t xml:space="preserve"> -43.1953883171082</t>
  </si>
  <si>
    <t xml:space="preserve"> -43.1954661011696</t>
  </si>
  <si>
    <t xml:space="preserve"> -43.1955170631409</t>
  </si>
  <si>
    <t xml:space="preserve"> -43.1957504153252</t>
  </si>
  <si>
    <t xml:space="preserve"> -43.1956109404564</t>
  </si>
  <si>
    <t xml:space="preserve"> -43.1954339146614</t>
  </si>
  <si>
    <t xml:space="preserve"> -43.2001036405563</t>
  </si>
  <si>
    <t xml:space="preserve"> -43.1996369361877</t>
  </si>
  <si>
    <t xml:space="preserve"> -43.1987518072128</t>
  </si>
  <si>
    <t xml:space="preserve"> -43.1976950168610</t>
  </si>
  <si>
    <t xml:space="preserve"> -43.1967777013779</t>
  </si>
  <si>
    <t xml:space="preserve"> -43.1963270902634</t>
  </si>
  <si>
    <t xml:space="preserve"> -43.1959462165833</t>
  </si>
  <si>
    <t xml:space="preserve"> -43.1956726312637</t>
  </si>
  <si>
    <t xml:space="preserve"> -43.1948196887970</t>
  </si>
  <si>
    <t xml:space="preserve"> -43.1941223144531</t>
  </si>
  <si>
    <t xml:space="preserve"> -43.1937736272812</t>
  </si>
  <si>
    <t xml:space="preserve"> -43.1933605670929</t>
  </si>
  <si>
    <t xml:space="preserve"> -43.1934624910355</t>
  </si>
  <si>
    <t xml:space="preserve"> -43.1932908296585</t>
  </si>
  <si>
    <t xml:space="preserve"> -43.1925612688065</t>
  </si>
  <si>
    <t xml:space="preserve"> -43.1917726993561</t>
  </si>
  <si>
    <t xml:space="preserve"> -43.1692716479302</t>
  </si>
  <si>
    <t xml:space="preserve"> -43.1692340970039</t>
  </si>
  <si>
    <t xml:space="preserve"> -43.1697463989258</t>
  </si>
  <si>
    <t xml:space="preserve"> -43.1705671548843</t>
  </si>
  <si>
    <t xml:space="preserve"> -43.1709480285645</t>
  </si>
  <si>
    <t xml:space="preserve"> -43.1714308261871</t>
  </si>
  <si>
    <t xml:space="preserve"> -43.1718787550926</t>
  </si>
  <si>
    <t xml:space="preserve"> -43.1727746129036</t>
  </si>
  <si>
    <t xml:space="preserve"> -43.1688076257706</t>
  </si>
  <si>
    <t xml:space="preserve"> -43.1690114736557</t>
  </si>
  <si>
    <t xml:space="preserve"> -43.1688317656517</t>
  </si>
  <si>
    <t xml:space="preserve"> -43.1687666670675</t>
  </si>
  <si>
    <t xml:space="preserve"> -43.1691402196884</t>
  </si>
  <si>
    <t xml:space="preserve"> -43.1695157289505</t>
  </si>
  <si>
    <t xml:space="preserve"> -43.1695640087128</t>
  </si>
  <si>
    <t xml:space="preserve"> -43.1719189882278</t>
  </si>
  <si>
    <t xml:space="preserve"> -43.2196784019470</t>
  </si>
  <si>
    <t xml:space="preserve"> -43.2191205024719</t>
  </si>
  <si>
    <t xml:space="preserve"> -43.2186913490295</t>
  </si>
  <si>
    <t xml:space="preserve"> -43.2200807332993</t>
  </si>
  <si>
    <t xml:space="preserve"> -43.2208693027496</t>
  </si>
  <si>
    <t xml:space="preserve"> -43.2217597961426</t>
  </si>
  <si>
    <t xml:space="preserve"> -43.2239645719528</t>
  </si>
  <si>
    <t xml:space="preserve"> -43.2266360521317</t>
  </si>
  <si>
    <t xml:space="preserve"> -43.2278645038605</t>
  </si>
  <si>
    <t xml:space="preserve"> -43.2281810045242</t>
  </si>
  <si>
    <t xml:space="preserve"> -43.2275533676147</t>
  </si>
  <si>
    <t xml:space="preserve"> -43.2272958755493</t>
  </si>
  <si>
    <t xml:space="preserve"> -43.1885272264481</t>
  </si>
  <si>
    <t xml:space="preserve"> -43.1786164641380</t>
  </si>
  <si>
    <t xml:space="preserve"> -43.1889215111732</t>
  </si>
  <si>
    <t xml:space="preserve"> -43.1888303160667</t>
  </si>
  <si>
    <t xml:space="preserve"> -43.1885781884193</t>
  </si>
  <si>
    <t xml:space="preserve"> -43.1888061761856</t>
  </si>
  <si>
    <t xml:space="preserve"> -43.1887015700340</t>
  </si>
  <si>
    <t xml:space="preserve"> -43.1895035505295</t>
  </si>
  <si>
    <t xml:space="preserve"> -43.1896376609802</t>
  </si>
  <si>
    <t xml:space="preserve"> -43.1893882155418</t>
  </si>
  <si>
    <t xml:space="preserve"> -43.1896296143532</t>
  </si>
  <si>
    <t xml:space="preserve"> -43.1900426745415</t>
  </si>
  <si>
    <t xml:space="preserve"> -43.1905281543732</t>
  </si>
  <si>
    <t xml:space="preserve"> -43.1905201077461</t>
  </si>
  <si>
    <t xml:space="preserve"> -43.1902089715004</t>
  </si>
  <si>
    <t xml:space="preserve"> -43.1899300217629</t>
  </si>
  <si>
    <t xml:space="preserve"> -43.1898254156113</t>
  </si>
  <si>
    <t xml:space="preserve"> -43.1893426179886</t>
  </si>
  <si>
    <t xml:space="preserve"> -43.1844931840897</t>
  </si>
  <si>
    <t xml:space="preserve"> -43.1838038563728</t>
  </si>
  <si>
    <t xml:space="preserve"> -43.1827148795128</t>
  </si>
  <si>
    <t xml:space="preserve"> -43.1825351715088</t>
  </si>
  <si>
    <t xml:space="preserve"> -43.1864672334810</t>
  </si>
  <si>
    <t xml:space="preserve"> -43.1857055425644</t>
  </si>
  <si>
    <t xml:space="preserve"> -43.1850591301918</t>
  </si>
  <si>
    <t xml:space="preserve"> -43.1845307350159</t>
  </si>
  <si>
    <t xml:space="preserve"> -43.1924968957901</t>
  </si>
  <si>
    <t xml:space="preserve"> -43.1926310062409</t>
  </si>
  <si>
    <t xml:space="preserve"> -43.1876099109650</t>
  </si>
  <si>
    <t xml:space="preserve"> -43.1869447231293</t>
  </si>
  <si>
    <t xml:space="preserve"> -43.1859040260315</t>
  </si>
  <si>
    <t xml:space="preserve"> -43.1846380233765</t>
  </si>
  <si>
    <t xml:space="preserve"> -43.1840157508850</t>
  </si>
  <si>
    <t xml:space="preserve"> -43.1876957416534</t>
  </si>
  <si>
    <t xml:space="preserve"> -43.1871056556702</t>
  </si>
  <si>
    <t xml:space="preserve"> -43.1863653659821</t>
  </si>
  <si>
    <t xml:space="preserve"> -43.1852710247040</t>
  </si>
  <si>
    <t xml:space="preserve"> -43.1836080551147</t>
  </si>
  <si>
    <t xml:space="preserve"> -43.1887471675873</t>
  </si>
  <si>
    <t xml:space="preserve"> -43.1893453001976</t>
  </si>
  <si>
    <t xml:space="preserve"> -43.1901928782463</t>
  </si>
  <si>
    <t xml:space="preserve"> -43.1907320022583</t>
  </si>
  <si>
    <t xml:space="preserve"> -43.1909680366516</t>
  </si>
  <si>
    <t xml:space="preserve"> -43.1915500760078</t>
  </si>
  <si>
    <t xml:space="preserve"> -43.1926953792572</t>
  </si>
  <si>
    <t xml:space="preserve"> -43.1936931610107</t>
  </si>
  <si>
    <t xml:space="preserve"> -43.1944602727890</t>
  </si>
  <si>
    <t xml:space="preserve"> -43.1947875022888</t>
  </si>
  <si>
    <t xml:space="preserve"> -43.1958013772964</t>
  </si>
  <si>
    <t xml:space="preserve"> -43.2163900136948</t>
  </si>
  <si>
    <t xml:space="preserve"> -43.2161700725555</t>
  </si>
  <si>
    <t xml:space="preserve"> -43.2157301902771</t>
  </si>
  <si>
    <t xml:space="preserve"> -43.2146465778351</t>
  </si>
  <si>
    <t xml:space="preserve"> -43.2126402854920</t>
  </si>
  <si>
    <t xml:space="preserve"> -43.1720906496048</t>
  </si>
  <si>
    <t xml:space="preserve"> -43.1934517621994</t>
  </si>
  <si>
    <t xml:space="preserve"> -43.1924620270729</t>
  </si>
  <si>
    <t xml:space="preserve"> -43.1739547848702</t>
  </si>
  <si>
    <t xml:space="preserve"> -43.1839835643768</t>
  </si>
  <si>
    <t xml:space="preserve"> -43.1715005636215</t>
  </si>
  <si>
    <t xml:space="preserve"> -43.1690651178360</t>
  </si>
  <si>
    <t xml:space="preserve"> -43.1682175397873</t>
  </si>
  <si>
    <t xml:space="preserve"> -43.1676435470581</t>
  </si>
  <si>
    <t xml:space="preserve"> -43.1686735153198</t>
  </si>
  <si>
    <t xml:space="preserve"> -43.1874436140060</t>
  </si>
  <si>
    <t xml:space="preserve"> -43.1861937046051</t>
  </si>
  <si>
    <t xml:space="preserve"> -43.1725010275841</t>
  </si>
  <si>
    <t xml:space="preserve"> -43.1754434108734</t>
  </si>
  <si>
    <t xml:space="preserve"> -43.1778037548065</t>
  </si>
  <si>
    <t xml:space="preserve"> -43.1803357601166</t>
  </si>
  <si>
    <t xml:space="preserve"> -43.1828141212463</t>
  </si>
  <si>
    <t xml:space="preserve"> -43.1752341985703</t>
  </si>
  <si>
    <t xml:space="preserve"> -43.1748318672180</t>
  </si>
  <si>
    <t xml:space="preserve"> -43.1947982311249</t>
  </si>
  <si>
    <t xml:space="preserve"> -43.1948652863503</t>
  </si>
  <si>
    <t xml:space="preserve"> -43.1950289011002</t>
  </si>
  <si>
    <t xml:space="preserve"> -43.1960400938988</t>
  </si>
  <si>
    <t xml:space="preserve"> -43.1974938511848</t>
  </si>
  <si>
    <t xml:space="preserve"> -43.1979900598526</t>
  </si>
  <si>
    <t xml:space="preserve"> -43.1979927420616</t>
  </si>
  <si>
    <t xml:space="preserve"> -43.1971210241318</t>
  </si>
  <si>
    <t xml:space="preserve"> -43.2120977196134</t>
  </si>
  <si>
    <t xml:space="preserve"> -43.2119394692815</t>
  </si>
  <si>
    <t xml:space="preserve"> -43.2119716557897</t>
  </si>
  <si>
    <t xml:space="preserve"> -43.2119375467300</t>
  </si>
  <si>
    <t xml:space="preserve"> -43.2116505503655</t>
  </si>
  <si>
    <t xml:space="preserve"> -43.2115378975868</t>
  </si>
  <si>
    <t xml:space="preserve"> -43.2113099098206</t>
  </si>
  <si>
    <t xml:space="preserve"> -43.2110443711281</t>
  </si>
  <si>
    <t xml:space="preserve"> -43.2112830877304</t>
  </si>
  <si>
    <t xml:space="preserve"> -43.2114279270172</t>
  </si>
  <si>
    <t xml:space="preserve"> -43.2121333479881</t>
  </si>
  <si>
    <t xml:space="preserve"> -43.2114949822426</t>
  </si>
  <si>
    <t xml:space="preserve"> -43.2109853625298</t>
  </si>
  <si>
    <t xml:space="preserve"> -43.2097220420837</t>
  </si>
  <si>
    <t xml:space="preserve"> -43.2089120149612</t>
  </si>
  <si>
    <t xml:space="preserve"> -43.2077237963677</t>
  </si>
  <si>
    <t xml:space="preserve"> -43.2067635655403</t>
  </si>
  <si>
    <t xml:space="preserve"> -43.2063397765160</t>
  </si>
  <si>
    <t xml:space="preserve"> -43.2056263089180</t>
  </si>
  <si>
    <t xml:space="preserve"> -43.2050684094429</t>
  </si>
  <si>
    <t xml:space="preserve"> -43.1794747710228</t>
  </si>
  <si>
    <t xml:space="preserve"> -43.1963914632797</t>
  </si>
  <si>
    <t xml:space="preserve"> -43.1972041726112</t>
  </si>
  <si>
    <t xml:space="preserve"> -43.1980437040329</t>
  </si>
  <si>
    <t xml:space="preserve"> -43.1987893581390</t>
  </si>
  <si>
    <t xml:space="preserve"> -43.1994947791100</t>
  </si>
  <si>
    <t xml:space="preserve"> -43.1998220086098</t>
  </si>
  <si>
    <t xml:space="preserve"> -43.1998541951180</t>
  </si>
  <si>
    <t xml:space="preserve"> -43.2000043988228</t>
  </si>
  <si>
    <t xml:space="preserve"> -43.1836563348770</t>
  </si>
  <si>
    <t xml:space="preserve"> -43.1828999519348</t>
  </si>
  <si>
    <t xml:space="preserve"> -43.1826478242874</t>
  </si>
  <si>
    <t xml:space="preserve"> -43.1770661473274</t>
  </si>
  <si>
    <t xml:space="preserve"> -43.1796035170555</t>
  </si>
  <si>
    <t xml:space="preserve"> -43.1840479373932</t>
  </si>
  <si>
    <t xml:space="preserve"> -43.1827658414841</t>
  </si>
  <si>
    <t xml:space="preserve"> -43.1881088018417</t>
  </si>
  <si>
    <t xml:space="preserve"> -43.1889402866364</t>
  </si>
  <si>
    <t xml:space="preserve"> -43.1901472806931</t>
  </si>
  <si>
    <t xml:space="preserve"> -43.1909090280533</t>
  </si>
  <si>
    <t xml:space="preserve"> -43.2120342683139</t>
  </si>
  <si>
    <t xml:space="preserve"> -43.2116265725437</t>
  </si>
  <si>
    <t xml:space="preserve"> -43.2117445897403</t>
  </si>
  <si>
    <t xml:space="preserve"> -43.2116533946338</t>
  </si>
  <si>
    <t xml:space="preserve"> -43.2119430732074</t>
  </si>
  <si>
    <t xml:space="preserve"> -43.2120823860169</t>
  </si>
  <si>
    <t xml:space="preserve"> -43.2121199369431</t>
  </si>
  <si>
    <t xml:space="preserve"> -43.2128602266312</t>
  </si>
  <si>
    <t xml:space="preserve"> -43.2110202312469</t>
  </si>
  <si>
    <t xml:space="preserve"> -43.2104998826981</t>
  </si>
  <si>
    <t xml:space="preserve"> -43.2098883390427</t>
  </si>
  <si>
    <t xml:space="preserve"> -43.2090783119202</t>
  </si>
  <si>
    <t xml:space="preserve"> -43.2081395387650</t>
  </si>
  <si>
    <t xml:space="preserve"> -43.2060259580612</t>
  </si>
  <si>
    <t xml:space="preserve"> -43.2049638032913</t>
  </si>
  <si>
    <t xml:space="preserve"> -43.2040411233902</t>
  </si>
  <si>
    <t xml:space="preserve"> -43.2030647993088</t>
  </si>
  <si>
    <t xml:space="preserve"> -43.2002699375153</t>
  </si>
  <si>
    <t xml:space="preserve"> -43.1991434097290</t>
  </si>
  <si>
    <t xml:space="preserve"> -43.1988349556923</t>
  </si>
  <si>
    <t xml:space="preserve"> -43.1983065605164</t>
  </si>
  <si>
    <t xml:space="preserve"> -43.1979042291641</t>
  </si>
  <si>
    <t xml:space="preserve"> -43.1966489553452</t>
  </si>
  <si>
    <t xml:space="preserve"> -43.1991824629682</t>
  </si>
  <si>
    <t xml:space="preserve"> -43.1996598961729</t>
  </si>
  <si>
    <t xml:space="preserve"> -43.2003626349348</t>
  </si>
  <si>
    <t xml:space="preserve"> -43.2007810595411</t>
  </si>
  <si>
    <t xml:space="preserve"> -43.2013389590162</t>
  </si>
  <si>
    <t xml:space="preserve"> -43.2017547014135</t>
  </si>
  <si>
    <t xml:space="preserve"> -43.2020899775404</t>
  </si>
  <si>
    <t xml:space="preserve"> -43.2031881809235</t>
  </si>
  <si>
    <t xml:space="preserve"> -43.2033571600914</t>
  </si>
  <si>
    <t xml:space="preserve"> -43.2041832804680</t>
  </si>
  <si>
    <t xml:space="preserve"> -43.2045373320580</t>
  </si>
  <si>
    <t xml:space="preserve"> -43.2047170400620</t>
  </si>
  <si>
    <t xml:space="preserve"> -43.2055726647377</t>
  </si>
  <si>
    <t xml:space="preserve"> -43.2060661911964</t>
  </si>
  <si>
    <t xml:space="preserve"> -43.2068762183189</t>
  </si>
  <si>
    <t xml:space="preserve"> -43.2073724269867</t>
  </si>
  <si>
    <t xml:space="preserve"> -43.2087591290474</t>
  </si>
  <si>
    <t xml:space="preserve"> -43.2092741131783</t>
  </si>
  <si>
    <t xml:space="preserve"> -43.2102021574974</t>
  </si>
  <si>
    <t xml:space="preserve"> -43.2122004032135</t>
  </si>
  <si>
    <t xml:space="preserve"> -43.2139223814011</t>
  </si>
  <si>
    <t xml:space="preserve"> -43.2146358489990</t>
  </si>
  <si>
    <t xml:space="preserve"> -43.2044944167137</t>
  </si>
  <si>
    <t xml:space="preserve"> -43.2038024067879</t>
  </si>
  <si>
    <t xml:space="preserve"> -43.2029387354851</t>
  </si>
  <si>
    <t xml:space="preserve"> -43.2021957635880</t>
  </si>
  <si>
    <t xml:space="preserve"> -43.2012087106705</t>
  </si>
  <si>
    <t xml:space="preserve"> -43.1999400258064</t>
  </si>
  <si>
    <t xml:space="preserve"> -43.1996610760689</t>
  </si>
  <si>
    <t xml:space="preserve"> -43.1908097863197</t>
  </si>
  <si>
    <t xml:space="preserve"> -43.1902974843979</t>
  </si>
  <si>
    <t xml:space="preserve"> -43.1895759701729</t>
  </si>
  <si>
    <t xml:space="preserve"> -43.1834900379181</t>
  </si>
  <si>
    <t xml:space="preserve"> -43.1834658980370</t>
  </si>
  <si>
    <t xml:space="preserve"> -43.1833371520042</t>
  </si>
  <si>
    <t xml:space="preserve"> -43.1764546036720</t>
  </si>
  <si>
    <t xml:space="preserve"> -43.1837582588196</t>
  </si>
  <si>
    <t xml:space="preserve"> -43.1821677088738</t>
  </si>
  <si>
    <t xml:space="preserve"> -43.1820523738861</t>
  </si>
  <si>
    <t xml:space="preserve"> -43.1883394718170</t>
  </si>
  <si>
    <t xml:space="preserve"> -43.1832835063470</t>
  </si>
  <si>
    <t xml:space="preserve"> -43.1831413492693</t>
  </si>
  <si>
    <t xml:space="preserve"> -43.1820094570650</t>
  </si>
  <si>
    <t xml:space="preserve"> -43.1814944729341</t>
  </si>
  <si>
    <t xml:space="preserve"> -43.1809231624139</t>
  </si>
  <si>
    <t xml:space="preserve"> -43.1802070126070</t>
  </si>
  <si>
    <t xml:space="preserve"> -43.1795927882195</t>
  </si>
  <si>
    <t xml:space="preserve"> -43.1784448027611</t>
  </si>
  <si>
    <t xml:space="preserve"> -43.1781256198883</t>
  </si>
  <si>
    <t xml:space="preserve"> -43.1775060296059</t>
  </si>
  <si>
    <t xml:space="preserve"> -43.1772673130035</t>
  </si>
  <si>
    <t xml:space="preserve"> -43.1772056221962</t>
  </si>
  <si>
    <t xml:space="preserve"> -43.1766396760941</t>
  </si>
  <si>
    <t xml:space="preserve"> -43.1766316294670</t>
  </si>
  <si>
    <t xml:space="preserve"> -43.1764975190163</t>
  </si>
  <si>
    <t xml:space="preserve"> -43.1761649250984</t>
  </si>
  <si>
    <t xml:space="preserve"> -43.1720852851868</t>
  </si>
  <si>
    <t xml:space="preserve"> -43.1846702098846</t>
  </si>
  <si>
    <t xml:space="preserve"> -43.1769025325775</t>
  </si>
  <si>
    <t xml:space="preserve"> -43.1933498382568</t>
  </si>
  <si>
    <t xml:space="preserve"> -43.1934329867363</t>
  </si>
  <si>
    <t xml:space="preserve"> -43.1933659315109</t>
  </si>
  <si>
    <t xml:space="preserve"> -43.1930306553841</t>
  </si>
  <si>
    <t xml:space="preserve"> -43.1936046481133</t>
  </si>
  <si>
    <t xml:space="preserve"> -43.1880256533623</t>
  </si>
  <si>
    <t xml:space="preserve"> -43.1870010495186</t>
  </si>
  <si>
    <t xml:space="preserve"> -43.1860622763634</t>
  </si>
  <si>
    <t xml:space="preserve"> -43.1854507327080</t>
  </si>
  <si>
    <t xml:space="preserve"> -43.1850188970566</t>
  </si>
  <si>
    <t xml:space="preserve"> -43.1845548748970</t>
  </si>
  <si>
    <t xml:space="preserve"> -43.1839111447334</t>
  </si>
  <si>
    <t xml:space="preserve"> -43.1827390193939</t>
  </si>
  <si>
    <t xml:space="preserve"> -43.2280844449997</t>
  </si>
  <si>
    <t xml:space="preserve"> -43.2281488180161</t>
  </si>
  <si>
    <t xml:space="preserve"> -43.2288140058517</t>
  </si>
  <si>
    <t xml:space="preserve"> -43.2301872968674</t>
  </si>
  <si>
    <t xml:space="preserve"> -43.2305198907852</t>
  </si>
  <si>
    <t xml:space="preserve"> -43.2305306196213</t>
  </si>
  <si>
    <t xml:space="preserve"> -43.2311689853668</t>
  </si>
  <si>
    <t xml:space="preserve"> -43.2315874099731</t>
  </si>
  <si>
    <t xml:space="preserve"> -43.2314962148666</t>
  </si>
  <si>
    <t xml:space="preserve"> -43.2323223352432</t>
  </si>
  <si>
    <t xml:space="preserve"> -43.2335346937180</t>
  </si>
  <si>
    <t xml:space="preserve"> -43.2335776090622</t>
  </si>
  <si>
    <t xml:space="preserve"> -43.2326281070709</t>
  </si>
  <si>
    <t xml:space="preserve"> -43.2318449020386</t>
  </si>
  <si>
    <t xml:space="preserve"> -43.2307451963425</t>
  </si>
  <si>
    <t xml:space="preserve"> -43.2297474145889</t>
  </si>
  <si>
    <t xml:space="preserve"> -43.2283204793930</t>
  </si>
  <si>
    <t xml:space="preserve"> -43.2269042730331</t>
  </si>
  <si>
    <t xml:space="preserve"> -43.2242327928543</t>
  </si>
  <si>
    <t xml:space="preserve"> -43.2223284244537</t>
  </si>
  <si>
    <t xml:space="preserve"> -43.2210516929627</t>
  </si>
  <si>
    <t xml:space="preserve"> -43.2202684879303</t>
  </si>
  <si>
    <t xml:space="preserve"> -43.2184553146362</t>
  </si>
  <si>
    <t xml:space="preserve"> -43.2173717021942</t>
  </si>
  <si>
    <t xml:space="preserve"> -43.2164490222931</t>
  </si>
  <si>
    <t xml:space="preserve"> -43.2277250289917</t>
  </si>
  <si>
    <t xml:space="preserve"> -43.2274568080902</t>
  </si>
  <si>
    <t xml:space="preserve"> -43.2266896963120</t>
  </si>
  <si>
    <t xml:space="preserve"> -43.1769347190857</t>
  </si>
  <si>
    <t xml:space="preserve"> -43.1778144836426</t>
  </si>
  <si>
    <t xml:space="preserve"> -43.1696739792824</t>
  </si>
  <si>
    <t xml:space="preserve"> -43.1727424263954</t>
  </si>
  <si>
    <t xml:space="preserve"> -43.1979686021805</t>
  </si>
  <si>
    <t xml:space="preserve"> -43.1983404699903</t>
  </si>
  <si>
    <t xml:space="preserve"> -43.1991075817685</t>
  </si>
  <si>
    <t xml:space="preserve"> -43.1991451326947</t>
  </si>
  <si>
    <t xml:space="preserve"> -43.1988393608670</t>
  </si>
  <si>
    <t xml:space="preserve"> -43.1988018099408</t>
  </si>
  <si>
    <t xml:space="preserve"> -43.1985657755475</t>
  </si>
  <si>
    <t xml:space="preserve"> -43.1994938198667</t>
  </si>
  <si>
    <t xml:space="preserve"> -43.2008134667020</t>
  </si>
  <si>
    <t xml:space="preserve"> -43.2019704580307</t>
  </si>
  <si>
    <t xml:space="preserve"> -43.2026410102844</t>
  </si>
  <si>
    <t xml:space="preserve"> -43.2031828165054</t>
  </si>
  <si>
    <t xml:space="preserve"> -43.2039338350296</t>
  </si>
  <si>
    <t xml:space="preserve"> -43.2032632827759</t>
  </si>
  <si>
    <t xml:space="preserve"> -43.2037031650543</t>
  </si>
  <si>
    <t xml:space="preserve"> -43.2034081220627</t>
  </si>
  <si>
    <t xml:space="preserve"> -43.2035905122757</t>
  </si>
  <si>
    <t xml:space="preserve"> -43.2043629884720</t>
  </si>
  <si>
    <t xml:space="preserve"> -43.2047653198242</t>
  </si>
  <si>
    <t xml:space="preserve"> -43.1695237755776</t>
  </si>
  <si>
    <t xml:space="preserve"> -43.1695291399956</t>
  </si>
  <si>
    <t xml:space="preserve"> -43.1699609756470</t>
  </si>
  <si>
    <t xml:space="preserve"> -43.1701835989952</t>
  </si>
  <si>
    <t xml:space="preserve"> -43.1711116433144</t>
  </si>
  <si>
    <t xml:space="preserve"> -43.1710767745972</t>
  </si>
  <si>
    <t xml:space="preserve"> -43.1713154911995</t>
  </si>
  <si>
    <t xml:space="preserve"> -43.1719404459000</t>
  </si>
  <si>
    <t xml:space="preserve"> -43.1805020570755</t>
  </si>
  <si>
    <t xml:space="preserve"> -43.1812906265259</t>
  </si>
  <si>
    <t xml:space="preserve"> -43.1820121407509</t>
  </si>
  <si>
    <t xml:space="preserve"> -43.1784183922403</t>
  </si>
  <si>
    <t xml:space="preserve"> -43.1784049811952</t>
  </si>
  <si>
    <t xml:space="preserve"> -43.1924378871918</t>
  </si>
  <si>
    <t xml:space="preserve"> -43.1944012641907</t>
  </si>
  <si>
    <t xml:space="preserve"> -43.1784152984619</t>
  </si>
  <si>
    <t xml:space="preserve"> -43.1822508573532</t>
  </si>
  <si>
    <t xml:space="preserve"> -43.1915849447250</t>
  </si>
  <si>
    <t xml:space="preserve"> -43.1922125816345</t>
  </si>
  <si>
    <t xml:space="preserve"> -43.1918531656265</t>
  </si>
  <si>
    <t xml:space="preserve"> -43.1905791163445</t>
  </si>
  <si>
    <t xml:space="preserve"> -43.1895866990089</t>
  </si>
  <si>
    <t xml:space="preserve"> -43.1888437271118</t>
  </si>
  <si>
    <t xml:space="preserve"> -43.1707929401454</t>
  </si>
  <si>
    <t xml:space="preserve"> -43.1717746286449</t>
  </si>
  <si>
    <t xml:space="preserve"> -43.1704710750636</t>
  </si>
  <si>
    <t xml:space="preserve"> -43.1700950860977</t>
  </si>
  <si>
    <t xml:space="preserve"> -43.1684482097626</t>
  </si>
  <si>
    <t xml:space="preserve"> -43.1676730513573</t>
  </si>
  <si>
    <t xml:space="preserve"> -43.1672117114067</t>
  </si>
  <si>
    <t xml:space="preserve"> -43.1670373678207</t>
  </si>
  <si>
    <t xml:space="preserve"> -43.1669059395790</t>
  </si>
  <si>
    <t xml:space="preserve"> -43.1674396991730</t>
  </si>
  <si>
    <t xml:space="preserve"> -43.1678366661072</t>
  </si>
  <si>
    <t xml:space="preserve"> -43.1677347421646</t>
  </si>
  <si>
    <t xml:space="preserve"> -43.1682068109512</t>
  </si>
  <si>
    <t xml:space="preserve"> -43.1746387481690</t>
  </si>
  <si>
    <t xml:space="preserve"> -43.1724768877029</t>
  </si>
  <si>
    <t xml:space="preserve"> -43.1706102700900</t>
  </si>
  <si>
    <t xml:space="preserve"> -43.1698161363602</t>
  </si>
  <si>
    <t xml:space="preserve"> -43.1702131032944</t>
  </si>
  <si>
    <t xml:space="preserve"> -43.1706744432449</t>
  </si>
  <si>
    <t xml:space="preserve"> -43.1842464208603</t>
  </si>
  <si>
    <t xml:space="preserve"> -43.1939613819122</t>
  </si>
  <si>
    <t xml:space="preserve"> -43.1949216127396</t>
  </si>
  <si>
    <t xml:space="preserve"> -43.1956404447556</t>
  </si>
  <si>
    <t xml:space="preserve"> -43.1984621286392</t>
  </si>
  <si>
    <t xml:space="preserve"> -43.1825941801071</t>
  </si>
  <si>
    <t xml:space="preserve"> -43.1819370388985</t>
  </si>
  <si>
    <t xml:space="preserve"> -43.1817573308945</t>
  </si>
  <si>
    <t xml:space="preserve"> -43.1812477111816</t>
  </si>
  <si>
    <t xml:space="preserve"> -43.1806603074074</t>
  </si>
  <si>
    <t xml:space="preserve"> -43.1802392005920</t>
  </si>
  <si>
    <t xml:space="preserve"> -43.1809473037720</t>
  </si>
  <si>
    <t xml:space="preserve"> -43.1946748495102</t>
  </si>
  <si>
    <t xml:space="preserve"> -43.1938084959984</t>
  </si>
  <si>
    <t xml:space="preserve"> -43.1915742158890</t>
  </si>
  <si>
    <t xml:space="preserve"> -43.1922045350075</t>
  </si>
  <si>
    <t xml:space="preserve"> -43.1917378306389</t>
  </si>
  <si>
    <t xml:space="preserve"> -43.1906032562256</t>
  </si>
  <si>
    <t xml:space="preserve"> -43.1895893812180</t>
  </si>
  <si>
    <t xml:space="preserve"> -43.1888222694397</t>
  </si>
  <si>
    <t>Ordem</t>
  </si>
  <si>
    <t>Rota ID</t>
  </si>
  <si>
    <t>Direção</t>
  </si>
  <si>
    <t>Ordem Base</t>
  </si>
  <si>
    <t>Ordem final</t>
  </si>
  <si>
    <t>-22.5336836504613</t>
  </si>
  <si>
    <t xml:space="preserve"> -43.1995001435280</t>
  </si>
  <si>
    <t>-22.5340800393564</t>
  </si>
  <si>
    <t xml:space="preserve"> -43.1986713409424</t>
  </si>
  <si>
    <t>-22.5342361171716</t>
  </si>
  <si>
    <t xml:space="preserve"> -43.1981080770493</t>
  </si>
  <si>
    <t>-22.5345334077602</t>
  </si>
  <si>
    <t xml:space="preserve"> -43.1977728009224</t>
  </si>
  <si>
    <t>-22.5347093043904</t>
  </si>
  <si>
    <t xml:space="preserve"> -43.1968823075295</t>
  </si>
  <si>
    <t>-22.5343005301868</t>
  </si>
  <si>
    <t xml:space="preserve"> -43.1961768865585</t>
  </si>
  <si>
    <t>-22.5337654057640</t>
  </si>
  <si>
    <t xml:space="preserve"> -43.1953829526901</t>
  </si>
  <si>
    <t>-22.5328660947718</t>
  </si>
  <si>
    <t xml:space="preserve"> -43.1945756077766</t>
  </si>
  <si>
    <t xml:space="preserve">			{"lat": -22.5340800393564</t>
  </si>
  <si>
    <t xml:space="preserve"> "lon": -43.1986713409424}</t>
  </si>
  <si>
    <t xml:space="preserve">			{"lat": -22.5342361171716</t>
  </si>
  <si>
    <t xml:space="preserve"> "lon": -43.1981080770493}</t>
  </si>
  <si>
    <t xml:space="preserve">			{"lat": -22.5345334077602</t>
  </si>
  <si>
    <t xml:space="preserve"> "lon": -43.1977728009224}</t>
  </si>
  <si>
    <t xml:space="preserve">			{"lat": -22.5347093043904</t>
  </si>
  <si>
    <t xml:space="preserve"> "lon": -43.1968823075295}</t>
  </si>
  <si>
    <t xml:space="preserve">			{"lat": -22.5343005301868</t>
  </si>
  <si>
    <t xml:space="preserve"> "lon": -43.1961768865585}</t>
  </si>
  <si>
    <t xml:space="preserve">			{"lat": -22.5337654057640</t>
  </si>
  <si>
    <t xml:space="preserve"> "lon": -43.1953829526901}</t>
  </si>
  <si>
    <t xml:space="preserve">			{"lat": -22.5328660947718</t>
  </si>
  <si>
    <t xml:space="preserve"> "lon": -43.1945756077766}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</si>
</sst>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"/>
    <numFmt numFmtId="165" formatCode="0.000000000000000"/>
    <numFmt numFmtId="166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5" tint="-0.499984740745262"/>
      <name val="Arial"/>
      <family val="2"/>
    </font>
    <font>
      <b/>
      <sz val="11"/>
      <color theme="6" tint="-0.499984740745262"/>
      <name val="Arial"/>
      <family val="2"/>
    </font>
    <font>
      <b/>
      <sz val="11"/>
      <color theme="4" tint="-0.499984740745262"/>
      <name val="Arial"/>
      <family val="2"/>
    </font>
    <font>
      <b/>
      <sz val="11"/>
      <color theme="6" tint="-0.249977111117893"/>
      <name val="Arial"/>
      <family val="2"/>
    </font>
    <font>
      <b/>
      <sz val="11"/>
      <color theme="5" tint="-0.249977111117893"/>
      <name val="Arial"/>
      <family val="2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medium">
        <color theme="3" tint="0.249977111117893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 applyAlignment="1">
      <alignment vertical="center" wrapText="1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2" fillId="0" borderId="0" xfId="0" applyFont="1"/>
    <xf numFmtId="0" fontId="4" fillId="11" borderId="7" xfId="0" applyFont="1" applyFill="1" applyBorder="1" applyAlignment="1">
      <alignment horizontal="right"/>
    </xf>
    <xf numFmtId="0" fontId="2" fillId="12" borderId="10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right"/>
    </xf>
    <xf numFmtId="20" fontId="2" fillId="12" borderId="11" xfId="0" applyNumberFormat="1" applyFont="1" applyFill="1" applyBorder="1" applyAlignment="1">
      <alignment horizontal="center"/>
    </xf>
    <xf numFmtId="0" fontId="4" fillId="11" borderId="9" xfId="0" applyFont="1" applyFill="1" applyBorder="1" applyAlignment="1">
      <alignment horizontal="right"/>
    </xf>
    <xf numFmtId="0" fontId="2" fillId="0" borderId="12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Fill="1" applyBorder="1"/>
    <xf numFmtId="49" fontId="0" fillId="0" borderId="2" xfId="0" applyNumberFormat="1" applyFill="1" applyBorder="1"/>
    <xf numFmtId="0" fontId="0" fillId="0" borderId="0" xfId="0" applyFill="1"/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NumberFormat="1" applyFont="1" applyFill="1"/>
    <xf numFmtId="49" fontId="0" fillId="0" borderId="0" xfId="0" applyNumberFormat="1"/>
    <xf numFmtId="49" fontId="0" fillId="0" borderId="0" xfId="0" applyNumberFormat="1" applyAlignment="1"/>
    <xf numFmtId="49" fontId="2" fillId="0" borderId="0" xfId="0" applyNumberFormat="1" applyFont="1" applyFill="1" applyAlignment="1"/>
    <xf numFmtId="49" fontId="2" fillId="0" borderId="0" xfId="0" applyNumberFormat="1" applyFont="1" applyFill="1"/>
    <xf numFmtId="0" fontId="2" fillId="0" borderId="13" xfId="0" applyFont="1" applyFill="1" applyBorder="1"/>
  </cellXfs>
  <cellStyles count="1">
    <cellStyle name="Normal" xfId="0" builtinId="0"/>
  </cellStyles>
  <dxfs count="16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gradientFill>
          <stop position="0">
            <color rgb="FF0B1330"/>
          </stop>
          <stop position="1">
            <color rgb="FF1E3A5F"/>
          </stop>
        </gradientFill>
      </fill>
    </dxf>
    <dxf>
      <font>
        <b/>
        <i val="0"/>
        <color theme="0"/>
      </font>
      <fill>
        <gradientFill>
          <stop position="0">
            <color rgb="FF6FA1D6"/>
          </stop>
          <stop position="1">
            <color rgb="FFFFD166"/>
          </stop>
        </gradientFill>
      </fill>
    </dxf>
    <dxf>
      <font>
        <b/>
        <i val="0"/>
        <color auto="1"/>
      </font>
      <fill>
        <gradientFill>
          <stop position="0">
            <color rgb="FFFFE89A"/>
          </stop>
          <stop position="1">
            <color rgb="FFFFC83D"/>
          </stop>
        </gradientFill>
      </fill>
    </dxf>
    <dxf>
      <font>
        <b/>
        <i val="0"/>
      </font>
      <fill>
        <gradientFill>
          <stop position="0">
            <color rgb="FFFFF6D6"/>
          </stop>
          <stop position="1">
            <color theme="0"/>
          </stop>
        </gradientFill>
      </fill>
    </dxf>
    <dxf>
      <font>
        <b/>
        <i val="0"/>
      </font>
      <fill>
        <gradientFill>
          <stop position="0">
            <color rgb="FFFFB26B"/>
          </stop>
          <stop position="1">
            <color rgb="FFF47C20"/>
          </stop>
        </gradientFill>
      </fill>
    </dxf>
    <dxf>
      <font>
        <b/>
        <i val="0"/>
        <color theme="0"/>
      </font>
      <fill>
        <gradientFill>
          <stop position="0">
            <color rgb="FFD07BA6"/>
          </stop>
          <stop position="1">
            <color rgb="FF3B5BA5"/>
          </stop>
        </gradientFill>
      </fill>
    </dxf>
    <dxf>
      <font>
        <b/>
        <i val="0"/>
        <color theme="0"/>
      </font>
      <fill>
        <gradientFill>
          <stop position="0">
            <color rgb="FF1E2A47"/>
          </stop>
          <stop position="1">
            <color rgb="FF0A0F1F"/>
          </stop>
        </gradientFill>
      </fill>
    </dxf>
    <dxf>
      <font>
        <b/>
        <i val="0"/>
        <color rgb="FF002060"/>
      </font>
      <fill>
        <patternFill>
          <bgColor rgb="FF90CAF9"/>
        </patternFill>
      </fill>
    </dxf>
    <dxf>
      <font>
        <b/>
        <i val="0"/>
        <color theme="6" tint="-0.499984740745262"/>
      </font>
      <fill>
        <patternFill>
          <bgColor rgb="FFA5D6A7"/>
        </patternFill>
      </fill>
    </dxf>
    <dxf>
      <font>
        <b/>
        <i val="0"/>
        <color theme="6" tint="-0.499984740745262"/>
      </font>
      <fill>
        <patternFill>
          <bgColor rgb="FF66BB6A"/>
        </patternFill>
      </fill>
    </dxf>
    <dxf>
      <font>
        <b/>
        <i val="0"/>
        <color rgb="FF663300"/>
      </font>
      <fill>
        <patternFill>
          <bgColor rgb="FFFFEB3B"/>
        </patternFill>
      </fill>
    </dxf>
    <dxf>
      <font>
        <b/>
        <i val="0"/>
        <color theme="5" tint="-0.499984740745262"/>
      </font>
      <fill>
        <patternFill>
          <bgColor rgb="FFFB8C00"/>
        </patternFill>
      </fill>
    </dxf>
    <dxf>
      <font>
        <b/>
        <i val="0"/>
        <color rgb="FF4C000E"/>
      </font>
      <fill>
        <patternFill>
          <bgColor rgb="FFE53935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theme="0"/>
      </font>
      <fill>
        <gradientFill>
          <stop position="0">
            <color rgb="FF0B1330"/>
          </stop>
          <stop position="1">
            <color rgb="FF1E3A5F"/>
          </stop>
        </gradientFill>
      </fill>
    </dxf>
    <dxf>
      <font>
        <b/>
        <i val="0"/>
        <color theme="0"/>
      </font>
      <fill>
        <gradientFill>
          <stop position="0">
            <color rgb="FF6FA1D6"/>
          </stop>
          <stop position="1">
            <color rgb="FFFFD166"/>
          </stop>
        </gradientFill>
      </fill>
    </dxf>
    <dxf>
      <font>
        <b/>
        <i val="0"/>
        <color auto="1"/>
      </font>
      <fill>
        <gradientFill>
          <stop position="0">
            <color rgb="FFFFE89A"/>
          </stop>
          <stop position="1">
            <color rgb="FFFFC83D"/>
          </stop>
        </gradientFill>
      </fill>
    </dxf>
    <dxf>
      <font>
        <b/>
        <i val="0"/>
      </font>
      <fill>
        <gradientFill>
          <stop position="0">
            <color rgb="FFFFF6D6"/>
          </stop>
          <stop position="1">
            <color theme="0"/>
          </stop>
        </gradientFill>
      </fill>
    </dxf>
    <dxf>
      <font>
        <b/>
        <i val="0"/>
      </font>
      <fill>
        <gradientFill>
          <stop position="0">
            <color rgb="FFFFB26B"/>
          </stop>
          <stop position="1">
            <color rgb="FFF47C20"/>
          </stop>
        </gradientFill>
      </fill>
    </dxf>
    <dxf>
      <font>
        <b/>
        <i val="0"/>
        <color theme="0"/>
      </font>
      <fill>
        <gradientFill>
          <stop position="0">
            <color rgb="FFD07BA6"/>
          </stop>
          <stop position="1">
            <color rgb="FF3B5BA5"/>
          </stop>
        </gradientFill>
      </fill>
    </dxf>
    <dxf>
      <font>
        <b/>
        <i val="0"/>
        <color theme="0"/>
      </font>
      <fill>
        <gradientFill>
          <stop position="0">
            <color rgb="FF1E2A47"/>
          </stop>
          <stop position="1">
            <color rgb="FF0A0F1F"/>
          </stop>
        </gradientFill>
      </fill>
    </dxf>
    <dxf>
      <font>
        <b/>
        <i val="0"/>
        <color theme="8"/>
      </font>
      <fill>
        <patternFill>
          <bgColor theme="8" tint="0.79998168889431442"/>
        </patternFill>
      </fill>
    </dxf>
    <dxf>
      <font>
        <b/>
        <i val="0"/>
        <color theme="8"/>
      </font>
      <fill>
        <patternFill>
          <bgColor theme="8" tint="0.59996337778862885"/>
        </patternFill>
      </fill>
    </dxf>
    <dxf>
      <font>
        <b/>
        <i val="0"/>
        <color theme="8"/>
      </font>
      <fill>
        <patternFill>
          <bgColor theme="8" tint="0.39994506668294322"/>
        </patternFill>
      </fill>
    </dxf>
    <dxf>
      <font>
        <b/>
        <i val="0"/>
        <color theme="8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002060"/>
      </font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3" tint="0.2499465926084170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8" tint="-0.499984740745262"/>
      </font>
      <fill>
        <patternFill>
          <bgColor theme="8" tint="0.79998168889431442"/>
        </patternFill>
      </fill>
    </dxf>
    <dxf>
      <font>
        <b/>
        <i val="0"/>
        <color theme="8" tint="-0.499984740745262"/>
      </font>
      <fill>
        <patternFill>
          <bgColor theme="8" tint="0.59996337778862885"/>
        </patternFill>
      </fill>
    </dxf>
    <dxf>
      <font>
        <b/>
        <i val="0"/>
        <color theme="8" tint="-0.499984740745262"/>
      </font>
      <fill>
        <patternFill>
          <bgColor theme="8" tint="0.39994506668294322"/>
        </patternFill>
      </fill>
    </dxf>
    <dxf>
      <font>
        <b/>
        <i val="0"/>
        <color theme="8" tint="-0.499984740745262"/>
      </font>
      <fill>
        <patternFill>
          <bgColor theme="8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002060"/>
      </font>
      <fill>
        <patternFill>
          <bgColor theme="3" tint="0.749961851863155"/>
        </patternFill>
      </fill>
    </dxf>
    <dxf>
      <font>
        <b/>
        <i val="0"/>
        <color theme="0"/>
      </font>
      <fill>
        <patternFill>
          <bgColor theme="3" tint="0.2499465926084170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2060"/>
      </font>
      <fill>
        <patternFill>
          <bgColor rgb="FF90CAF9"/>
        </patternFill>
      </fill>
    </dxf>
    <dxf>
      <font>
        <b/>
        <i val="0"/>
        <color theme="6" tint="-0.499984740745262"/>
      </font>
      <fill>
        <patternFill>
          <bgColor rgb="FFA5D6A7"/>
        </patternFill>
      </fill>
    </dxf>
    <dxf>
      <font>
        <b/>
        <i val="0"/>
        <color theme="6" tint="-0.499984740745262"/>
      </font>
      <fill>
        <patternFill>
          <bgColor rgb="FF66BB6A"/>
        </patternFill>
      </fill>
    </dxf>
    <dxf>
      <font>
        <b/>
        <i val="0"/>
        <color rgb="FF663300"/>
      </font>
      <fill>
        <patternFill>
          <bgColor rgb="FFFFEB3B"/>
        </patternFill>
      </fill>
    </dxf>
    <dxf>
      <font>
        <b/>
        <i val="0"/>
        <color theme="5" tint="-0.499984740745262"/>
      </font>
      <fill>
        <patternFill>
          <bgColor rgb="FFFB8C00"/>
        </patternFill>
      </fill>
    </dxf>
    <dxf>
      <font>
        <b/>
        <i val="0"/>
        <color rgb="FF4C000E"/>
      </font>
      <fill>
        <patternFill>
          <bgColor rgb="FFE53935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3" tint="0.249977111117893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numFmt numFmtId="165" formatCode="0.000000000000000"/>
    </dxf>
    <dxf>
      <numFmt numFmtId="164" formatCode="0.0000000000000"/>
      <alignment horizontal="general" vertical="center" textRotation="0" wrapText="1" indent="0" justifyLastLine="0" shrinkToFit="0" readingOrder="0"/>
    </dxf>
    <dxf>
      <numFmt numFmtId="164" formatCode="0.0000000000000"/>
      <alignment horizontal="general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</border>
    </dxf>
  </dxfs>
  <tableStyles count="0" defaultTableStyle="TableStyleMedium2" defaultPivotStyle="PivotStyleLight16"/>
  <colors>
    <mruColors>
      <color rgb="FF0A0F1F"/>
      <color rgb="FF1E2A47"/>
      <color rgb="FF3B5BA5"/>
      <color rgb="FFD07BA6"/>
      <color rgb="FFFFB26B"/>
      <color rgb="FFFFF6D6"/>
      <color rgb="FFFFC83D"/>
      <color rgb="FFFFE89A"/>
      <color rgb="FFFFD166"/>
      <color rgb="FF6FA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609599</xdr:colOff>
      <xdr:row>0</xdr:row>
      <xdr:rowOff>0</xdr:rowOff>
    </xdr:from>
    <xdr:to>
      <xdr:col>20</xdr:col>
      <xdr:colOff>523874</xdr:colOff>
      <xdr:row>12</xdr:row>
      <xdr:rowOff>47624</xdr:rowOff>
    </xdr:to>
    <xdr:sp macro="" textlink="">
      <xdr:nvSpPr>
        <xdr:cNvPr id="4098" name="AutoShape 2" descr="Paleta de cores diária e horários">
          <a:extLst>
            <a:ext uri="{FF2B5EF4-FFF2-40B4-BE49-F238E27FC236}">
              <a16:creationId xmlns:a16="http://schemas.microsoft.com/office/drawing/2014/main" id="{932A9D55-AA93-4B82-991E-17C75050F30F}"/>
            </a:ext>
          </a:extLst>
        </xdr:cNvPr>
        <xdr:cNvSpPr>
          <a:spLocks noChangeAspect="1" noChangeArrowheads="1"/>
        </xdr:cNvSpPr>
      </xdr:nvSpPr>
      <xdr:spPr bwMode="auto">
        <a:xfrm>
          <a:off x="22707599" y="0"/>
          <a:ext cx="2352675" cy="2352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29</xdr:col>
      <xdr:colOff>457200</xdr:colOff>
      <xdr:row>27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FBD418-B447-E695-04C5-B512277DB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7600" y="0"/>
          <a:ext cx="7772400" cy="5181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20EA9-885E-446E-8147-E07CCDB29862}" name="Tabela1" displayName="Tabela1" ref="A1:F108" totalsRowShown="0" tableBorderDxfId="160">
  <autoFilter ref="A1:F108" xr:uid="{E2920EA9-885E-446E-8147-E07CCDB29862}"/>
  <sortState xmlns:xlrd2="http://schemas.microsoft.com/office/spreadsheetml/2017/richdata2" ref="A2:F108">
    <sortCondition ref="A1:A108"/>
  </sortState>
  <tableColumns count="6">
    <tableColumn id="1" xr3:uid="{7C77AFC4-09A1-4619-B807-5054D0321A6B}" name="Nós" dataDxfId="159"/>
    <tableColumn id="2" xr3:uid="{602F653F-C7C2-443A-ABEA-09143276C3F4}" name="ID" dataDxfId="158"/>
    <tableColumn id="3" xr3:uid="{EEC69542-E02E-4CC6-B67D-E6C4D04EE915}" name="Latitude (graus)" dataDxfId="157"/>
    <tableColumn id="4" xr3:uid="{72965D83-53AF-494D-B4DF-8CBD82D2793E}" name="Longetude (graus)" dataDxfId="156"/>
    <tableColumn id="5" xr3:uid="{EBF0EF62-8FC5-4D79-A8A9-0ADA1F78B8A7}" name="Latitude (radianos)" dataDxfId="155">
      <calculatedColumnFormula>Tabela1[[#This Row],[Latitude (graus)]]* PI()/180</calculatedColumnFormula>
    </tableColumn>
    <tableColumn id="6" xr3:uid="{03584CA7-6085-4B31-BB4F-57DA4334CEFC}" name="Longetude (radianos)">
      <calculatedColumnFormula>Tabela1[[#This Row],[Longetude (graus)]]* PI()/180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DD480E-AFED-4719-98A7-2D88ED0B764A}" name="Tabela2" displayName="Tabela2" ref="A2:J218" totalsRowShown="0" headerRowDxfId="154" dataDxfId="153" tableBorderDxfId="152">
  <autoFilter ref="A2:J218" xr:uid="{58DD480E-AFED-4719-98A7-2D88ED0B764A}"/>
  <tableColumns count="10">
    <tableColumn id="1" xr3:uid="{A63B0017-6867-4CB9-888C-2DE6A76D1189}" name="Origem" dataDxfId="151"/>
    <tableColumn id="2" xr3:uid="{45EDCA37-1B86-4215-8964-30AC3AE5DF1D}" name="Destino" dataDxfId="150"/>
    <tableColumn id="3" xr3:uid="{1DA006C0-31F6-4C33-BDE1-DD0D18E273E3}" name="Distância (m)" dataDxfId="149">
      <calculatedColumnFormula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calculatedColumnFormula>
    </tableColumn>
    <tableColumn id="4" xr3:uid="{B547708F-3037-4937-92B4-5EDCAFB6B605}" name="Tem rio?" dataDxfId="148"/>
    <tableColumn id="5" xr3:uid="{DCD12C2F-893E-4C31-8866-C33327A85D4F}" name="Quando alaga?" dataDxfId="147"/>
    <tableColumn id="6" xr3:uid="{1A491049-02BA-42BE-AFF1-4FF10D2E77AB}" name="Permitido Caminhão?" dataDxfId="146"/>
    <tableColumn id="7" xr3:uid="{7340B928-1F04-4C32-889C-1FEEFC709260}" name="Largura da via" dataDxfId="145"/>
    <tableColumn id="8" xr3:uid="{3BBAF479-328A-4375-8A83-8D345771E465}" name="Fluxo" dataDxfId="144"/>
    <tableColumn id="9" xr3:uid="{74CAFE58-8630-43AC-9FE9-2C8C0FCD0E3B}" name="Tipo" dataDxfId="143"/>
    <tableColumn id="10" xr3:uid="{58670D54-8628-478A-BDCB-9BE8A882455C}" name="Comunidade?" dataDxfId="14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D186A-A32B-45B9-89A0-F3B74EADB85F}" name="Tabela3" displayName="Tabela3" ref="A1:B2" totalsRowShown="0" headerRowDxfId="141" dataDxfId="140">
  <autoFilter ref="A1:B2" xr:uid="{4D5D186A-A32B-45B9-89A0-F3B74EADB85F}"/>
  <tableColumns count="2">
    <tableColumn id="1" xr3:uid="{E06C0082-2923-48E3-9AC2-5259E043149F}" name="Constantes" dataDxfId="139"/>
    <tableColumn id="2" xr3:uid="{5B697633-B723-46F3-99B8-292552B1A4A4}" name="Valor" dataDxfId="13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CE0322-937A-4158-BA17-C3D0D34B993F}" name="Tabela4" displayName="Tabela4" ref="D1:F3" totalsRowShown="0" headerRowDxfId="137" dataDxfId="136">
  <autoFilter ref="D1:F3" xr:uid="{59CE0322-937A-4158-BA17-C3D0D34B993F}"/>
  <tableColumns count="3">
    <tableColumn id="1" xr3:uid="{A7818C3D-3D02-4E3A-9A03-F247EC8E9427}" name="Nome" dataDxfId="135"/>
    <tableColumn id="2" xr3:uid="{39EAD19D-1FE4-4F08-B854-66CC4753E505}" name="O que faz?" dataDxfId="134"/>
    <tableColumn id="3" xr3:uid="{617487A8-BFA2-4811-B354-B6E2EFBB45CB}" name="Fórmula" dataDxfId="13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2D1337-FDD5-4CD6-B3BF-51BC6D09E411}" name="Tabela5" displayName="Tabela5" ref="H1:J8" totalsRowShown="0" headerRowDxfId="132" dataDxfId="131">
  <autoFilter ref="H1:J8" xr:uid="{D82D1337-FDD5-4CD6-B3BF-51BC6D09E411}"/>
  <tableColumns count="3">
    <tableColumn id="2" xr3:uid="{F6C5A095-BBAD-46AE-9BC2-D63D3E5AF14A}" name="Classificação" dataDxfId="130"/>
    <tableColumn id="1" xr3:uid="{390BCD85-5BFA-4BB9-8717-86FA13984B69}" name="Fator Chuva" dataDxfId="129"/>
    <tableColumn id="3" xr3:uid="{A6E63F02-4F13-4B61-BACB-32AD91A591FB}" name="Peso" dataDxfId="12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897FF2-CAB4-4DE4-BE1C-E879059228D4}" name="Tabela6" displayName="Tabela6" ref="H10:I12" totalsRowShown="0" headerRowDxfId="127" dataDxfId="126">
  <autoFilter ref="H10:I12" xr:uid="{F9897FF2-CAB4-4DE4-BE1C-E879059228D4}"/>
  <tableColumns count="2">
    <tableColumn id="1" xr3:uid="{1C557D2B-54B3-4144-9A35-489985A6D14A}" name="Fator de Presença" dataDxfId="125"/>
    <tableColumn id="2" xr3:uid="{F1FE771B-4791-45B3-B53A-5529BD981F78}" name="Classificação" dataDxfId="124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4BFB13-6061-4D65-8CBB-0F5E6CD3339C}" name="Tabela7" displayName="Tabela7" ref="H14:J17" totalsRowShown="0" headerRowDxfId="123" dataDxfId="122">
  <autoFilter ref="H14:J17" xr:uid="{364BFB13-6061-4D65-8CBB-0F5E6CD3339C}"/>
  <tableColumns count="3">
    <tableColumn id="1" xr3:uid="{FBDB56FC-C07F-44EC-9C5A-A75F32769FF5}" name="Fator da via" dataDxfId="121"/>
    <tableColumn id="2" xr3:uid="{3489203A-01D9-463C-A54A-89E8878B0FF6}" name="Classificação" dataDxfId="120"/>
    <tableColumn id="3" xr3:uid="{DEFEA509-9BAB-4038-80FE-F800EF832A99}" name="Peso" dataDxfId="119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DC4A18-4130-452A-B8DA-40A145EE118B}" name="Tabela8" displayName="Tabela8" ref="H19:J24" totalsRowShown="0" headerRowDxfId="118" dataDxfId="117">
  <autoFilter ref="H19:J24" xr:uid="{04DC4A18-4130-452A-B8DA-40A145EE118B}"/>
  <tableColumns count="3">
    <tableColumn id="1" xr3:uid="{2F0A4F8C-3B56-4CC0-84AF-8C3623EB41B3}" name="Fator de fluxo" dataDxfId="116"/>
    <tableColumn id="2" xr3:uid="{F48379FE-C49A-4B59-9E50-E75A698D0982}" name="Classificação" dataDxfId="115"/>
    <tableColumn id="3" xr3:uid="{6C82FFE2-7639-4B79-8F14-A08E9E421F9F}" name="Peso" dataDxfId="114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B4A1AA-C37D-4DA5-82F4-C4FBD617AB69}" name="Tabela9" displayName="Tabela9" ref="H26:J30" totalsRowShown="0" headerRowDxfId="113" dataDxfId="112">
  <autoFilter ref="H26:J30" xr:uid="{55B4A1AA-C37D-4DA5-82F4-C4FBD617AB69}"/>
  <tableColumns count="3">
    <tableColumn id="1" xr3:uid="{CB9BDAD0-E518-4C66-8CFE-E70780A72A56}" name="Fator tipo da via" dataDxfId="111"/>
    <tableColumn id="2" xr3:uid="{69CBBF42-8C93-4445-8CBD-E92E9144032F}" name="Classificação" dataDxfId="110"/>
    <tableColumn id="3" xr3:uid="{A8818D3F-2A12-4A7F-8085-4CA61EF0FA2D}" name="Peso" dataDxfId="109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EBA4AD-C314-45E2-BB96-BEBA4DA72D23}" name="Tabela10" displayName="Tabela10" ref="H32:I34" totalsRowShown="0" headerRowDxfId="108" dataDxfId="107">
  <autoFilter ref="H32:I34" xr:uid="{63EBA4AD-C314-45E2-BB96-BEBA4DA72D23}"/>
  <tableColumns count="2">
    <tableColumn id="1" xr3:uid="{2DD4EABD-79C7-4ADE-8F62-12AB8ABFD78F}" name="Fator veículo" dataDxfId="106"/>
    <tableColumn id="2" xr3:uid="{1E78D645-3CF0-43FE-BBB4-9B069DB5A950}" name="Classificação" dataDxfId="105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B0703D-4C6D-4A60-8DE4-BB6D61B6E3A7}" name="Tabela11" displayName="Tabela11" ref="L1:P8" totalsRowShown="0" headerRowDxfId="104" dataDxfId="103">
  <autoFilter ref="L1:P8" xr:uid="{4EB0703D-4C6D-4A60-8DE4-BB6D61B6E3A7}"/>
  <tableColumns count="5">
    <tableColumn id="1" xr3:uid="{89A4B2E1-9F33-4F82-8B7E-9A5BAFC8386B}" name="Fator horário" dataDxfId="102"/>
    <tableColumn id="2" xr3:uid="{8E90FD5F-0889-41D0-A259-0B945647510E}" name="Início" dataDxfId="101"/>
    <tableColumn id="3" xr3:uid="{3A1FB2C2-D1FE-4F65-9BE6-2CAC08D73350}" name="Término" dataDxfId="100"/>
    <tableColumn id="4" xr3:uid="{7FDCE966-F93F-473D-8F81-B0B3C64EDE1A}" name="Classificação" dataDxfId="99"/>
    <tableColumn id="5" xr3:uid="{DA419C8F-EBF9-4DA1-B803-AD3A13D3AE8D}" name="Peso" dataDxfId="98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C1ABD0-ECBB-4375-9DBE-1BF0FC42E100}" name="Tabela12" displayName="Tabela12" ref="D7:L223" totalsRowShown="0" headerRowDxfId="97" dataDxfId="95" headerRowBorderDxfId="96" tableBorderDxfId="94" totalsRowBorderDxfId="93">
  <autoFilter ref="D7:L223" xr:uid="{6EC1ABD0-ECBB-4375-9DBE-1BF0FC42E100}"/>
  <tableColumns count="9">
    <tableColumn id="1" xr3:uid="{7F9E61CF-5A83-46AF-AD2E-EACFCA09E8E5}" name="Origem" dataDxfId="92"/>
    <tableColumn id="2" xr3:uid="{B36814D3-6C95-4073-8B13-314C1BED21B2}" name="Destino" dataDxfId="91"/>
    <tableColumn id="3" xr3:uid="{BE452764-F962-4AF0-9CAC-2FA73F1A7064}" name="Distância (m)" dataDxfId="90">
      <calculatedColumnFormula>Vértices!C3</calculatedColumnFormula>
    </tableColumn>
    <tableColumn id="4" xr3:uid="{80DD94C7-2ABA-42B7-A57C-D5C40C2F6972}" name="Vai poder passar?" dataDxfId="89">
      <calculatedColumnFormula>IF($C$2="Caminhão",Vértices!F3,"Sim")</calculatedColumnFormula>
    </tableColumn>
    <tableColumn id="6" xr3:uid="{A9156F24-1BF5-41C7-AC8C-F45BB93E028E}" name="Via Alagada?" dataDxfId="88">
      <calculatedColumnFormula>IF(OR($C$3="Sem chuva",$I8=0), "Não",IF($D$3&gt;=Tabela12[[#This Row],[Chuva]],"Sim","Não"))</calculatedColumnFormula>
    </tableColumn>
    <tableColumn id="7" xr3:uid="{7D414D5D-FE4D-4C8A-8251-5D4B9BD6CAB9}" name="Chuva" dataDxfId="87">
      <calculatedColumnFormula>VLOOKUP(Vértices!E3,Tabela5[],2,)</calculatedColumnFormula>
    </tableColumn>
    <tableColumn id="8" xr3:uid="{468C3344-2206-4424-8052-6A6A2AE09126}" name="Criminalidade" dataDxfId="86">
      <calculatedColumnFormula>IF(AND(Vértices!$J3="Sim",OR(Pesos!$D$4="Madrugada",Pesos!$D$4="Noite")),"Via bloqueada", "Via liberada")</calculatedColumnFormula>
    </tableColumn>
    <tableColumn id="9" xr3:uid="{FDE39573-6B8F-4E10-85E6-E761CAE42D47}" name="Peso" dataDxfId="85">
      <calculatedColumnFormula>Tabela12[[#This Row],[Distância (m)]]*((1*VLOOKUP(Vértices!$G3,Tabela7[[Classificação]:[Peso]],2,FALSE)+2*VLOOKUP(Vértices!I3,Tabela9[[Classificação]:[Peso]],2,FALSE)+3*VLOOKUP(Pesos!$C$5,Tabela11[[Classificação]:[Peso]],2,FALSE)+4*VLOOKUP(Vértices!H3,Tabela8[[Classificação]:[Peso]],2,FALSE)+5*VLOOKUP($D$3,Tabela5[[Fator Chuva]:[Peso]],2,FALSE))/15)*VLOOKUP(Vértices!G3,Tabela7[[Classificação]:[Peso]],2,FALSE)*VLOOKUP(Vértices!H3,Tabela8[[Classificação]:[Peso]],2,FALSE)*VLOOKUP(Vértices!I3,Tabela9[[Classificação]:[Peso]],2,FALSE)</calculatedColumnFormula>
    </tableColumn>
    <tableColumn id="5" xr3:uid="{56883546-0A05-44CA-A5EB-ABD3E13C27A8}" name="Final" dataDxfId="84">
      <calculatedColumnFormula>IF(OR(Tabela12[[#This Row],[Vai poder passar?]]="Não",Tabela12[[#This Row],[Via Alagada?]]="Sim",Tabela12[[#This Row],[Criminalidade]]="Via bloqueada"), "Ignorar rota", Tabela12[[#This Row],[Peso]])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B6F30C-1CE6-4BE6-823B-3F21A2FE90A5}" name="Tabela13" displayName="Tabela13" ref="A1:K874" totalsRowShown="0" headerRowDxfId="76" dataDxfId="75" tableBorderDxfId="83">
  <autoFilter ref="A1:K874" xr:uid="{92B6F30C-1CE6-4BE6-823B-3F21A2FE90A5}">
    <filterColumn colId="4">
      <filters>
        <filter val="-22.4840988219330"/>
        <filter val="-22.4841583016669"/>
        <filter val="-22.4847134446180"/>
        <filter val="-22.4847431843561"/>
        <filter val="-22.4852289325078"/>
        <filter val="-22.4854073701762"/>
        <filter val="-22.4862004236974"/>
        <filter val="-22.4866465143063"/>
        <filter val="-22.4867753846590"/>
        <filter val="-22.4874098215691"/>
        <filter val="-22.4876378216233"/>
        <filter val="-22.4877369519646"/>
        <filter val="-22.4878410387464"/>
        <filter val="-22.4880640815868"/>
        <filter val="-22.4881235596169"/>
        <filter val="-22.4882920805633"/>
        <filter val="-22.4883614714816"/>
        <filter val="-22.4887877292164"/>
        <filter val="-22.4890702481544"/>
        <filter val="-22.4892139856384"/>
        <filter val="-22.4896600665346"/>
        <filter val="-22.4897096309899"/>
        <filter val="-22.4899624094356"/>
        <filter val="-22.4902151874197"/>
        <filter val="-22.4909586494026"/>
        <filter val="-22.4914245502095"/>
        <filter val="-22.4920193149177"/>
        <filter val="-22.4926091207288"/>
        <filter val="-22.4927032911718"/>
        <filter val="-22.4930403217058"/>
        <filter val="-22.4937143803111"/>
        <filter val="-22.4943735668007"/>
        <filter val="-22.4949633625768"/>
        <filter val="-22.4957563613381"/>
        <filter val="-22.4965790927490"/>
        <filter val="-22.4966707823924"/>
        <filter val="-22.4975306796040"/>
        <filter val="-22.4977437945130"/>
        <filter val="-22.4983831372701"/>
        <filter val="-22.4997212869645"/>
        <filter val="-22.5002515871508"/>
        <filter val="-22.5004646978679"/>
        <filter val="-22.5004696539272"/>
        <filter val="-22.5005142584528"/>
        <filter val="-22.5016442349690"/>
        <filter val="-22.5017284872342"/>
        <filter val="-22.5023777235560"/>
        <filter val="-22.5027642903001"/>
        <filter val="-22.5027841142066"/>
        <filter val="-22.5030988183412"/>
        <filter val="-22.5032598871094"/>
        <filter val="-22.5032673210481"/>
        <filter val="-22.5036266276050"/>
        <filter val="-22.5036984888044"/>
        <filter val="-22.5037455702596"/>
        <filter val="-22.5037802618479"/>
        <filter val="-22.5038892924974"/>
        <filter val="-22.5039809772952"/>
        <filter val="-22.5040726620322"/>
        <filter val="-22.5040776179622"/>
        <filter val="-22.5041123094672"/>
        <filter val="-22.5041693026351"/>
        <filter val="-22.5042585092856"/>
        <filter val="-22.5043254142357"/>
        <filter val="-22.5043353260774"/>
        <filter val="-22.5043749734371"/>
        <filter val="-22.5044071869085"/>
        <filter val="-22.5044542681225"/>
        <filter val="-22.5045385186758"/>
        <filter val="-22.5045930337124"/>
        <filter val="-22.5047119755358"/>
        <filter val="-22.5050093296468"/>
        <filter val="-22.5052026094760"/>
        <filter val="-22.5052100433102"/>
        <filter val="-22.5052371857166"/>
        <filter val="-22.5053265066604"/>
        <filter val="-22.5053438522574"/>
        <filter val="-22.5054504037338"/>
        <filter val="-22.5058047487509"/>
        <filter val="-22.5058815646838"/>
        <filter val="-22.5059162557362"/>
        <filter val="-22.5059682922987"/>
        <filter val="-22.5060698874355"/>
        <filter val="-22.5060797991522"/>
        <filter val="-22.5062606878566"/>
        <filter val="-22.5063325476873"/>
        <filter val="-22.5065902516003"/>
        <filter val="-22.5067934408855"/>
        <filter val="-22.5068083083824"/>
        <filter val="-22.5068429992024"/>
        <filter val="-22.5068727341840"/>
        <filter val="-22.5069074249879"/>
        <filter val="-22.5069594611773"/>
        <filter val="-22.5070635334974"/>
        <filter val="-22.5072865453481"/>
        <filter val="-22.5073237139549"/>
        <filter val="-22.5074376976202"/>
        <filter val="-22.5075070789357"/>
        <filter val="-22.5075120347426"/>
        <filter val="-22.5075169905493"/>
        <filter val="-22.5075938055311"/>
        <filter val="-22.5076111508436"/>
        <filter val="-22.5077141885042"/>
        <filter val="-22.5077647806598"/>
        <filter val="-22.5077796480523"/>
        <filter val="-22.5078391176063"/>
        <filter val="-22.5078886755485"/>
        <filter val="-22.5079481450557"/>
        <filter val="-22.5079555787422"/>
        <filter val="-22.5079927471692"/>
        <filter val="-22.5080274376921"/>
        <filter val="-22.5080571724190"/>
        <filter val="-22.5081092081757"/>
        <filter val="-22.5081463765614"/>
        <filter val="-22.5081661996964"/>
        <filter val="-22.5081835449371"/>
        <filter val="-22.5083485293956"/>
        <filter val="-22.5084164665306"/>
        <filter val="-22.5085477944901"/>
        <filter val="-22.5085527502597"/>
        <filter val="-22.5085577060292"/>
        <filter val="-22.5085750512208"/>
        <filter val="-22.5087633703042"/>
        <filter val="-22.5088005385140"/>
        <filter val="-22.5089318661087"/>
        <filter val="-22.5090185918105"/>
        <filter val="-22.5090359369443"/>
        <filter val="-22.5091424855757"/>
        <filter val="-22.5091722200628"/>
        <filter val="-22.5092465562527"/>
        <filter val="-22.5092862022043"/>
        <filter val="-22.5093099467611"/>
        <filter val="-22.5093803612937"/>
        <filter val="-22.5093828391636"/>
        <filter val="-22.5094001842518"/>
        <filter val="-22.5094447858969"/>
        <filter val="-22.5095934579436"/>
        <filter val="-22.5095984136757"/>
        <filter val="-22.5096132808711"/>
        <filter val="-22.5096777053657"/>
        <filter val="-22.5097148733298"/>
        <filter val="-22.5097693863256"/>
        <filter val="-22.5097991206779"/>
        <filter val="-22.5098263771619"/>
        <filter val="-22.5098511557791"/>
        <filter val="-22.5099552259226"/>
        <filter val="-22.5099651373608"/>
        <filter val="-22.5100146945409"/>
        <filter val="-22.5100692074186"/>
        <filter val="-22.5100989417064"/>
        <filter val="-22.5101955780977"/>
        <filter val="-22.5102054895186"/>
        <filter val="-22.5102352237771"/>
        <filter val="-22.5102773472991"/>
        <filter val="-22.5103392936316"/>
        <filter val="-22.5103492050422"/>
        <filter val="-22.5103541607473"/>
        <filter val="-22.5103814171218"/>
        <filter val="-22.5104111513425"/>
        <filter val="-22.5104284963016"/>
        <filter val="-22.5104309741528"/>
        <filter val="-22.5104359298549"/>
        <filter val="-22.5104408855568"/>
        <filter val="-22.5104656640638"/>
        <filter val="-22.5104780533157"/>
        <filter val="-22.5105325660106"/>
        <filter val="-22.5105375217091"/>
        <filter val="-22.5105449552565"/>
        <filter val="-22.5105647780475"/>
        <filter val="-22.5105945122287"/>
        <filter val="-22.5106564584191"/>
        <filter val="-22.5106589362662"/>
        <filter val="-22.5107778728718"/>
        <filter val="-22.5108224740725"/>
        <filter val="-22.5108299076046"/>
        <filter val="-22.5108497303548"/>
        <filter val="-22.5108621195722"/>
        <filter val="-22.5108745087885"/>
        <filter val="-22.5108968093751"/>
        <filter val="-22.5109091985883"/>
        <filter val="-22.5109141542733"/>
        <filter val="-22.5109314991693"/>
        <filter val="-22.5109761003204"/>
        <filter val="-22.5110033565724"/>
        <filter val="-22.5110239466847"/>
        <filter val="-22.5110536807672"/>
        <filter val="-22.5110876031354"/>
        <filter val="-22.5110900809747"/>
        <filter val="-22.5110950366532"/>
        <filter val="-22.5111148593654"/>
        <filter val="-22.5111198150430"/>
        <filter val="-22.5111346820747"/>
        <filter val="-22.5111676613575"/>
        <filter val="-22.5111899618968"/>
        <filter val="-22.5112164507207"/>
        <filter val="-22.5112214063947"/>
        <filter val="-22.5112536182711"/>
        <filter val="-22.5112642970018"/>
        <filter val="-22.5112957414827"/>
        <filter val="-22.5112982193183"/>
        <filter val="-22.5113155641661"/>
        <filter val="-22.5113229976717"/>
        <filter val="-22.5113254755068"/>
        <filter val="-22.5113304311768"/>
        <filter val="-22.5113403425164"/>
        <filter val="-22.5114493672047"/>
        <filter val="-22.5114617563684"/>
        <filter val="-22.5115319030488"/>
        <filter val="-22.5115542035293"/>
        <filter val="-22.5115583918071"/>
        <filter val="-22.5115802762060"/>
        <filter val="-22.5115856479443"/>
        <filter val="-22.5116203375656"/>
        <filter val="-22.5116674163235"/>
        <filter val="-22.5117566181366"/>
        <filter val="-22.5118854650984"/>
        <filter val="-22.5118879429234"/>
        <filter val="-22.5118953763982"/>
        <filter val="-22.5119226324689"/>
        <filter val="-22.5119275881175"/>
        <filter val="-22.5119597998294"/>
        <filter val="-22.5120291788756"/>
        <filter val="-22.5120514792759"/>
        <filter val="-22.5120836909589"/>
        <filter val="-22.5121505921226"/>
        <filter val="-22.5122174932540"/>
        <filter val="-22.5122740670059"/>
        <filter val="-22.5123661623190"/>
        <filter val="-22.5123934182969"/>
        <filter val="-22.5124479302366"/>
        <filter val="-22.5124875752701"/>
        <filter val="-22.5126188993625"/>
        <filter val="-22.5126362440446"/>
        <filter val="-22.5127328786623"/>
        <filter val="-22.5127700458050"/>
        <filter val="-22.5128196019796"/>
        <filter val="-22.5128939362083"/>
        <filter val="-22.5129806594246"/>
        <filter val="-22.5131417166819"/>
        <filter val="-22.5131516278917"/>
        <filter val="-22.5131764059128"/>
        <filter val="-22.5133002959520"/>
        <filter val="-22.5133399407411"/>
        <filter val="-22.5133597631313"/>
        <filter val="-22.5133845411152"/>
        <filter val="-22.5134142746900"/>
        <filter val="-22.5134687862271"/>
        <filter val="-22.5134935641914"/>
        <filter val="-22.5135183421513"/>
        <filter val="-22.5136521430578"/>
        <filter val="-22.5137289546308"/>
        <filter val="-22.5137462991737"/>
        <filter val="-22.5138354996453"/>
        <filter val="-22.5138701887021"/>
        <filter val="-22.5139197444823"/>
        <filter val="-22.5139891225449"/>
        <filter val="-22.5140163782028"/>
        <filter val="-22.5140485894279"/>
        <filter val="-22.5142022120907"/>
        <filter val="-22.5144053901888"/>
        <filter val="-22.5145168902378"/>
        <filter val="-22.5145367124593"/>
        <filter val="-22.5145813124472"/>
        <filter val="-22.5146630790545"/>
        <filter val="-22.5147275011959"/>
        <filter val="-22.5148092677166"/>
        <filter val="-22.5148365232128"/>
        <filter val="-22.5149356340627"/>
        <filter val="-22.5150000560770"/>
        <filter val="-22.5150149226915"/>
        <filter val="-22.5150223559981"/>
        <filter val="-22.5150446559155"/>
        <filter val="-22.5150694335974"/>
        <filter val="-22.5151123127459"/>
        <filter val="-22.5151660665141"/>
        <filter val="-22.5151982774713"/>
        <filter val="-22.5152379217160"/>
        <filter val="-22.5152775659494"/>
        <filter val="-22.5153543766191"/>
        <filter val="-22.5154163206766"/>
        <filter val="-22.5154708314241"/>
        <filter val="-22.5154881757484"/>
        <filter val="-22.5155129533507"/>
        <filter val="-22.5155649863011"/>
        <filter val="-22.5158325840224"/>
        <filter val="-22.5158573615630"/>
        <filter val="-22.5158722280852"/>
        <filter val="-22.5158821390992"/>
        <filter val="-22.5159069166309"/>
        <filter val="-22.5159614271850"/>
        <filter val="-22.5160134599665"/>
        <filter val="-22.5160258487212"/>
        <filter val="-22.5161596472004"/>
        <filter val="-22.5162042466648"/>
        <filter val="-22.5162438906209"/>
        <filter val="-22.5162538016082"/>
        <filter val="-22.5162736235806"/>
        <filter val="-22.5163702556554"/>
        <filter val="-22.5164262697328"/>
        <filter val="-22.5165015760590"/>
        <filter val="-22.5165461754130"/>
        <filter val="-22.5165759083077"/>
        <filter val="-22.5166898843446"/>
        <filter val="-22.5167097062544"/>
        <filter val="-22.5167592610167"/>
        <filter val="-22.5168038602875"/>
        <filter val="-22.5168286376540"/>
        <filter val="-22.5168435040717"/>
        <filter val="-22.5170764110742"/>
        <filter val="-22.5171457875523"/>
        <filter val="-22.5172250749132"/>
        <filter val="-22.5173018845007"/>
        <filter val="-22.5173142731398"/>
        <filter val="-22.5174356817447"/>
        <filter val="-22.5174926694203"/>
        <filter val="-22.5175620456895"/>
        <filter val="-22.5176933649607"/>
        <filter val="-22.5177503525301"/>
        <filter val="-22.5178098177949"/>
        <filter val="-22.5179807802887"/>
        <filter val="-22.5180229014503"/>
        <filter val="-22.5184738448470"/>
        <filter val="-22.5185184435645"/>
        <filter val="-22.5186051632518"/>
        <filter val="-22.5186522396307"/>
        <filter val="-22.5187810801646"/>
        <filter val="-22.5189000097816"/>
        <filter val="-22.5189396529646"/>
        <filter val="-22.5189792961361"/>
        <filter val="-22.5190982255825"/>
        <filter val="-22.5195342993437"/>
        <filter val="-22.5196631390552"/>
        <filter val="-22.5197820679131"/>
        <filter val="-22.5198663091255"/>
        <filter val="-22.5199199269189"/>
        <filter val="-22.5199654163685"/>
        <filter val="-22.5200793896100"/>
        <filter val="-22.5205154602750"/>
        <filter val="-22.5206096108382"/>
        <filter val="-22.5206641204145"/>
        <filter val="-22.5207037630913"/>
        <filter val="-22.5208078250639"/>
        <filter val="-22.5208226910536"/>
        <filter val="-22.5208350793771"/>
        <filter val="-22.5209168422845"/>
        <filter val="-22.5210035604667"/>
        <filter val="-22.5210109934512"/>
        <filter val="-22.5210506360286"/>
        <filter val="-22.5210555913499"/>
        <filter val="-22.5211646074980"/>
        <filter val="-22.5212884912537"/>
        <filter val="-22.5213132678161"/>
        <filter val="-22.5213355667185"/>
        <filter val="-22.5213578656172"/>
        <filter val="-22.5213776868576"/>
        <filter val="-22.5213975080951"/>
        <filter val="-22.5214966142398"/>
        <filter val="-22.5215114801554"/>
        <filter val="-22.5215213907649"/>
        <filter val="-22.5215907650115"/>
        <filter val="-22.5215957203135"/>
        <filter val="-22.5216229744713"/>
        <filter val="-22.5216626168731"/>
        <filter val="-22.5216948254391"/>
        <filter val="-22.5217419007654"/>
        <filter val="-22.5217840216577"/>
        <filter val="-22.5217939322477"/>
        <filter val="-22.5218608287113"/>
        <filter val="-22.5218633063574"/>
        <filter val="-22.5219425910117"/>
        <filter val="-22.5219624121681"/>
        <filter val="-22.5220193979771"/>
        <filter val="-22.5220615179077"/>
        <filter val="-22.5220664731928"/>
        <filter val="-22.5220813390471"/>
        <filter val="-22.5221878776226"/>
        <filter val="-22.5222894599620"/>
        <filter val="-22.5224728059675"/>
        <filter val="-22.5225545670287"/>
        <filter val="-22.5226016429392"/>
        <filter val="-22.5226611061164"/>
        <filter val="-22.5227205692680"/>
        <filter val="-22.5229138243339"/>
        <filter val="-22.5230030188886"/>
        <filter val="-22.5230500937692"/>
        <filter val="-22.5231214030493"/>
        <filter val="-22.5232111392922"/>
        <filter val="-22.5234688117386"/>
        <filter val="-22.5236174687006"/>
        <filter val="-22.5236417030247"/>
        <filter val="-22.5236818866678"/>
        <filter val="-22.5237363941550"/>
        <filter val="-22.5238993746681"/>
        <filter val="-22.5239321254092"/>
        <filter val="-22.5240089312686"/>
        <filter val="-22.5240628968079"/>
        <filter val="-22.5242715574332"/>
        <filter val="-22.5242765126390"/>
        <filter val="-22.5242913782555"/>
        <filter val="-22.5244295821148"/>
        <filter val="-22.5245763022624"/>
        <filter val="-22.5246679733397"/>
        <filter val="-22.5248458183107"/>
        <filter val="-22.5248513153119"/>
        <filter val="-22.5250173139146"/>
        <filter val="-22.5250941191707"/>
        <filter val="-22.5251387157515"/>
        <filter val="-22.5251560588623"/>
        <filter val="-22.5251882674910"/>
        <filter val="-22.5251932226639"/>
        <filter val="-22.5252948036707"/>
        <filter val="-22.5254062949336"/>
        <filter val="-22.5257152720410"/>
        <filter val="-22.5259092432902"/>
        <filter val="-22.5259855062390"/>
        <filter val="-22.5260324015432"/>
        <filter val="-22.5260405546286"/>
        <filter val="-22.5261148817460"/>
        <filter val="-22.5262437153214"/>
        <filter val="-22.5262932666646"/>
        <filter val="-22.5262957442313"/>
        <filter val="-22.5263031769311"/>
        <filter val="-22.5265410231138"/>
        <filter val="-22.5265583660486"/>
        <filter val="-22.5266319725190"/>
        <filter val="-22.5267317952769"/>
        <filter val="-22.5267739137709"/>
        <filter val="-22.5267788688870"/>
        <filter val="-22.5268499976832"/>
        <filter val="-22.5269077018431"/>
        <filter val="-22.5269126569544"/>
        <filter val="-22.5269220253688"/>
        <filter val="-22.5269275222873"/>
        <filter val="-22.5270216693580"/>
        <filter val="-22.5270712204222"/>
        <filter val="-22.5273140203794"/>
        <filter val="-22.5273933019057"/>
        <filter val="-22.5274378977442"/>
        <filter val="-22.5274800160229"/>
        <filter val="-22.5275716851734"/>
        <filter val="-22.5276559216364"/>
        <filter val="-22.5277302478846"/>
        <filter val="-22.5277451131295"/>
        <filter val="-22.5277599783727"/>
        <filter val="-22.5277674109938"/>
        <filter val="-22.5278013761910"/>
        <filter val="-22.5278640350307"/>
        <filter val="-22.5278665125692"/>
        <filter val="-22.5279482713154"/>
        <filter val="-22.5280027771193"/>
        <filter val="-22.5280820582503"/>
        <filter val="-22.5283050361871"/>
        <filter val="-22.5285527890282"/>
        <filter val="-22.5286672246464"/>
        <filter val="-22.5287757662051"/>
        <filter val="-22.5287906313375"/>
        <filter val="-22.5291052762632"/>
        <filter val="-22.5291176638441"/>
        <filter val="-22.5291672141563"/>
        <filter val="-22.5292940368305"/>
        <filter val="-22.5295636160143"/>
        <filter val="-22.5295983011228"/>
        <filter val="-22.5297469514889"/>
        <filter val="-22.5297519064984"/>
        <filter val="-22.5298068810473"/>
        <filter val="-22.5298658716666"/>
        <filter val="-22.5298807366816"/>
        <filter val="-22.5300987567181"/>
        <filter val="-22.5301136217080"/>
        <filter val="-22.5301829916400"/>
        <filter val="-22.5303266863882"/>
        <filter val="-22.5304431285745"/>
        <filter val="-22.5308147519168"/>
        <filter val="-22.5308717340741"/>
        <filter val="-22.5310302929971"/>
        <filter val="-22.5310352479605"/>
        <filter val="-22.5311442571105"/>
        <filter val="-22.5313424553447"/>
        <filter val="-22.5316521395161"/>
        <filter val="-22.5317239861446"/>
        <filter val="-22.5317636256478"/>
        <filter val="-22.5318354722184"/>
        <filter val="-22.5320262370691"/>
        <filter val="-22.5321872721276"/>
        <filter val="-22.5321897495886"/>
        <filter val="-22.5323086676630"/>
        <filter val="-22.5323284873321"/>
        <filter val="-22.5324077659801"/>
        <filter val="-22.5325019093155"/>
        <filter val="-22.5326456016511"/>
        <filter val="-22.5327719516846"/>
        <filter val="-22.5328933467061"/>
        <filter val="-22.5329255535306"/>
        <filter val="-22.5329404182163"/>
        <filter val="-22.5331113619868"/>
        <filter val="-22.5331609108663"/>
        <filter val="-22.5331658657532"/>
        <filter val="-22.5333987452401"/>
        <filter val="-22.5334705909600"/>
        <filter val="-22.5335795981878"/>
        <filter val="-22.5336118048522"/>
        <filter val="-22.5337059473668"/>
        <filter val="-22.5338570707429"/>
        <filter val="-22.5338645030358"/>
        <filter val="-22.5339041419246"/>
        <filter val="-22.5339066193548"/>
        <filter val="-22.5340057165252"/>
        <filter val="-22.5340552650838"/>
        <filter val="-22.5341667492755"/>
        <filter val="-22.5341791364024"/>
        <filter val="-22.5345383625979"/>
        <filter val="-22.5347142592218"/>
      </filters>
    </filterColumn>
  </autoFilter>
  <tableColumns count="11">
    <tableColumn id="1" xr3:uid="{4B12BB36-1DC7-4A6F-A165-4B600E0C9344}" name="Origem" dataDxfId="82"/>
    <tableColumn id="2" xr3:uid="{ABF00558-7184-42D5-A89D-F2B38E556820}" name="Destino" dataDxfId="81"/>
    <tableColumn id="3" xr3:uid="{5778B529-39AA-4C57-9D1D-78B20C84B3C6}" name="ID Origem" dataDxfId="80">
      <calculatedColumnFormula>VLOOKUP(Tabela13[[#This Row],[Origem]],Tabela1[],2,FALSE)</calculatedColumnFormula>
    </tableColumn>
    <tableColumn id="4" xr3:uid="{2CABF361-422B-462C-AAE0-B42034A08661}" name="ID Destino" dataDxfId="79">
      <calculatedColumnFormula>VLOOKUP(Tabela13[[#This Row],[Destino]],Tabela1[],2,FALSE)</calculatedColumnFormula>
    </tableColumn>
    <tableColumn id="10" xr3:uid="{85792A27-1CC3-44E0-86A8-EF2C00B0080A}" name="Latitude corrigida" dataDxfId="78"/>
    <tableColumn id="11" xr3:uid="{A7C592DB-9D15-4BC7-B1E2-564E9E50E89F}" name="Longetude corrigida" dataDxfId="77"/>
    <tableColumn id="7" xr3:uid="{ED824F4E-BBF5-476B-9534-804E1A3FC2A5}" name="Ordem" dataDxfId="74"/>
    <tableColumn id="8" xr3:uid="{38D3C0DE-AF78-44EF-BF50-4AE3F73A1AE8}" name="Rota ID" dataDxfId="73">
      <calculatedColumnFormula>IF(A2&lt;B2, A2&amp;"_"&amp;B2, B2&amp;"_"&amp;A2)</calculatedColumnFormula>
    </tableColumn>
    <tableColumn id="9" xr3:uid="{367D13BB-3818-4300-A4F4-3AD3B38E79F7}" name="Direção" dataDxfId="72">
      <calculatedColumnFormula>IF(A2&lt;B2, 1, -1)</calculatedColumnFormula>
    </tableColumn>
    <tableColumn id="12" xr3:uid="{A7F32BCB-8356-4C88-B457-D916A888A0AF}" name="Ordem Base" dataDxfId="71">
      <calculatedColumnFormula>COUNTIFS(H$2:H2, H2)-1</calculatedColumnFormula>
    </tableColumn>
    <tableColumn id="13" xr3:uid="{C677D499-F253-45D4-8245-30F4E2A09EC7}" name="Ordem final" dataDxfId="70">
      <calculatedColumnFormula array="1">IF(I2=1,
    J2,
    MAX(IF(H:H=H2, J:J)) - J2
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7178-ED15-4D45-A712-B86F3D479C94}">
  <dimension ref="A1:F108"/>
  <sheetViews>
    <sheetView topLeftCell="A73" workbookViewId="0">
      <selection activeCell="C80" sqref="C80:D80"/>
    </sheetView>
  </sheetViews>
  <sheetFormatPr defaultRowHeight="15" x14ac:dyDescent="0.25"/>
  <cols>
    <col min="1" max="1" width="32.28515625" style="41" bestFit="1" customWidth="1"/>
    <col min="2" max="2" width="5.28515625" bestFit="1" customWidth="1"/>
    <col min="3" max="3" width="20.85546875" bestFit="1" customWidth="1"/>
    <col min="4" max="4" width="20.5703125" bestFit="1" customWidth="1"/>
    <col min="5" max="6" width="22.7109375" bestFit="1" customWidth="1"/>
  </cols>
  <sheetData>
    <row r="1" spans="1:6" x14ac:dyDescent="0.25">
      <c r="A1" s="39" t="s">
        <v>0</v>
      </c>
      <c r="B1" t="s">
        <v>183</v>
      </c>
      <c r="C1" t="s">
        <v>110</v>
      </c>
      <c r="D1" t="s">
        <v>111</v>
      </c>
      <c r="E1" t="s">
        <v>112</v>
      </c>
      <c r="F1" t="s">
        <v>113</v>
      </c>
    </row>
    <row r="2" spans="1:6" x14ac:dyDescent="0.25">
      <c r="A2" s="40" t="s">
        <v>1</v>
      </c>
      <c r="B2">
        <v>1</v>
      </c>
      <c r="C2" s="1">
        <v>-22.512656066535801</v>
      </c>
      <c r="D2" s="1">
        <v>-43.172377645969398</v>
      </c>
      <c r="E2" s="2">
        <f>Tabela1[[#This Row],[Latitude (graus)]]* PI()/180</f>
        <v>-0.39291997173012533</v>
      </c>
      <c r="F2" s="2">
        <f>Tabela1[[#This Row],[Longetude (graus)]]* PI()/180</f>
        <v>-0.75350013583656472</v>
      </c>
    </row>
    <row r="3" spans="1:6" x14ac:dyDescent="0.25">
      <c r="A3" s="40" t="s">
        <v>2</v>
      </c>
      <c r="B3">
        <v>2</v>
      </c>
      <c r="C3" s="1">
        <v>-22.511303174989301</v>
      </c>
      <c r="D3" s="1">
        <v>-43.177811801433599</v>
      </c>
      <c r="E3" s="2">
        <f>Tabela1[[#This Row],[Latitude (graus)]]* PI()/180</f>
        <v>-0.39289635931821654</v>
      </c>
      <c r="F3" s="2">
        <f>Tabela1[[#This Row],[Longetude (graus)]]* PI()/180</f>
        <v>-0.75359497974148026</v>
      </c>
    </row>
    <row r="4" spans="1:6" x14ac:dyDescent="0.25">
      <c r="A4" s="40" t="s">
        <v>16</v>
      </c>
      <c r="B4">
        <v>3</v>
      </c>
      <c r="C4" s="1">
        <v>-22.503755528723801</v>
      </c>
      <c r="D4" s="1">
        <v>-43.182095423684402</v>
      </c>
      <c r="E4" s="2">
        <f>Tabela1[[#This Row],[Latitude (graus)]]* PI()/180</f>
        <v>-0.3927646280401077</v>
      </c>
      <c r="F4" s="2">
        <f>Tabela1[[#This Row],[Longetude (graus)]]* PI()/180</f>
        <v>-0.75366974305366863</v>
      </c>
    </row>
    <row r="5" spans="1:6" x14ac:dyDescent="0.25">
      <c r="A5" s="40" t="s">
        <v>3</v>
      </c>
      <c r="B5">
        <v>4</v>
      </c>
      <c r="C5" s="1">
        <v>-22.504870564474601</v>
      </c>
      <c r="D5" s="1">
        <v>-43.178235590457902</v>
      </c>
      <c r="E5" s="2">
        <f>Tabela1[[#This Row],[Latitude (graus)]]* PI()/180</f>
        <v>-0.3927840890852366</v>
      </c>
      <c r="F5" s="2">
        <f>Tabela1[[#This Row],[Longetude (graus)]]* PI()/180</f>
        <v>-0.75360237625528825</v>
      </c>
    </row>
    <row r="6" spans="1:6" x14ac:dyDescent="0.25">
      <c r="A6" s="40" t="s">
        <v>4</v>
      </c>
      <c r="B6">
        <v>5</v>
      </c>
      <c r="C6" s="1">
        <v>-22.506171482497699</v>
      </c>
      <c r="D6" s="1">
        <v>-43.179828822612798</v>
      </c>
      <c r="E6" s="2">
        <f>Tabela1[[#This Row],[Latitude (graus)]]* PI()/180</f>
        <v>-0.39280679438803817</v>
      </c>
      <c r="F6" s="2">
        <f>Tabela1[[#This Row],[Longetude (graus)]]* PI()/180</f>
        <v>-0.75363018340213983</v>
      </c>
    </row>
    <row r="7" spans="1:6" x14ac:dyDescent="0.25">
      <c r="A7" s="40" t="s">
        <v>5</v>
      </c>
      <c r="B7">
        <v>6</v>
      </c>
      <c r="C7" s="1">
        <v>-22.503881858592202</v>
      </c>
      <c r="D7" s="1">
        <v>-43.188999295234701</v>
      </c>
      <c r="E7" s="2">
        <f>Tabela1[[#This Row],[Latitude (graus)]]* PI()/180</f>
        <v>-0.39276683291225489</v>
      </c>
      <c r="F7" s="2">
        <f>Tabela1[[#This Row],[Longetude (graus)]]* PI()/180</f>
        <v>-0.75379023834335612</v>
      </c>
    </row>
    <row r="8" spans="1:6" x14ac:dyDescent="0.25">
      <c r="A8" s="40" t="s">
        <v>6</v>
      </c>
      <c r="B8">
        <v>7</v>
      </c>
      <c r="C8" s="1">
        <v>-22.518525876682698</v>
      </c>
      <c r="D8" s="1">
        <v>-43.191268444061301</v>
      </c>
      <c r="E8" s="2">
        <f>Tabela1[[#This Row],[Latitude (graus)]]* PI()/180</f>
        <v>-0.39302241924365572</v>
      </c>
      <c r="F8" s="2">
        <f>Tabela1[[#This Row],[Longetude (graus)]]* PI()/180</f>
        <v>-0.75382984246159801</v>
      </c>
    </row>
    <row r="9" spans="1:6" x14ac:dyDescent="0.25">
      <c r="A9" s="40" t="s">
        <v>7</v>
      </c>
      <c r="B9">
        <v>8</v>
      </c>
      <c r="C9" s="1">
        <v>-22.5063920178637</v>
      </c>
      <c r="D9" s="1">
        <v>-43.177412152290401</v>
      </c>
      <c r="E9" s="2">
        <f>Tabela1[[#This Row],[Latitude (graus)]]* PI()/180</f>
        <v>-0.39281064345629196</v>
      </c>
      <c r="F9" s="2">
        <f>Tabela1[[#This Row],[Longetude (graus)]]* PI()/180</f>
        <v>-0.75358800454807884</v>
      </c>
    </row>
    <row r="10" spans="1:6" x14ac:dyDescent="0.25">
      <c r="A10" s="40" t="s">
        <v>8</v>
      </c>
      <c r="B10">
        <v>9</v>
      </c>
      <c r="C10" s="1">
        <v>-22.5117194507215</v>
      </c>
      <c r="D10" s="1">
        <v>-43.2146573066711</v>
      </c>
      <c r="E10" s="2">
        <f>Tabela1[[#This Row],[Latitude (graus)]]* PI()/180</f>
        <v>-0.39290362470033957</v>
      </c>
      <c r="F10" s="2">
        <f>Tabela1[[#This Row],[Longetude (graus)]]* PI()/180</f>
        <v>-0.75423805512243558</v>
      </c>
    </row>
    <row r="11" spans="1:6" x14ac:dyDescent="0.25">
      <c r="A11" s="40" t="s">
        <v>9</v>
      </c>
      <c r="B11">
        <v>10</v>
      </c>
      <c r="C11" s="1">
        <v>-22.5175769120283</v>
      </c>
      <c r="D11" s="1">
        <v>-43.226416110992403</v>
      </c>
      <c r="E11" s="2">
        <f>Tabela1[[#This Row],[Latitude (graus)]]* PI()/180</f>
        <v>-0.39300585668595139</v>
      </c>
      <c r="F11" s="2">
        <f>Tabela1[[#This Row],[Longetude (graus)]]* PI()/180</f>
        <v>-0.75444328497393998</v>
      </c>
    </row>
    <row r="12" spans="1:6" x14ac:dyDescent="0.25">
      <c r="A12" s="40" t="s">
        <v>10</v>
      </c>
      <c r="B12">
        <v>11</v>
      </c>
      <c r="C12" s="1">
        <v>-22.532160020054</v>
      </c>
      <c r="D12" s="1">
        <v>-43.193910419940998</v>
      </c>
      <c r="E12" s="2">
        <f>Tabela1[[#This Row],[Latitude (graus)]]* PI()/180</f>
        <v>-0.39326037993617385</v>
      </c>
      <c r="F12" s="2">
        <f>Tabela1[[#This Row],[Longetude (graus)]]* PI()/180</f>
        <v>-0.75387595363945692</v>
      </c>
    </row>
    <row r="13" spans="1:6" x14ac:dyDescent="0.25">
      <c r="A13" s="40" t="s">
        <v>11</v>
      </c>
      <c r="B13">
        <v>12</v>
      </c>
      <c r="C13" s="1">
        <v>-22.486983559590701</v>
      </c>
      <c r="D13" s="1">
        <v>-43.215714097023003</v>
      </c>
      <c r="E13" s="2">
        <f>Tabela1[[#This Row],[Latitude (graus)]]* PI()/180</f>
        <v>-0.39247190195669229</v>
      </c>
      <c r="F13" s="2">
        <f>Tabela1[[#This Row],[Longetude (graus)]]* PI()/180</f>
        <v>-0.75425649959357954</v>
      </c>
    </row>
    <row r="14" spans="1:6" x14ac:dyDescent="0.25">
      <c r="A14" s="40" t="s">
        <v>12</v>
      </c>
      <c r="B14">
        <v>13</v>
      </c>
      <c r="C14" s="1">
        <v>-22.5039586755932</v>
      </c>
      <c r="D14" s="1">
        <v>-43.190640807151802</v>
      </c>
      <c r="E14" s="2">
        <f>Tabela1[[#This Row],[Latitude (graus)]]* PI()/180</f>
        <v>-0.3927681736218438</v>
      </c>
      <c r="F14" s="2">
        <f>Tabela1[[#This Row],[Longetude (graus)]]* PI()/180</f>
        <v>-0.75381888813102016</v>
      </c>
    </row>
    <row r="15" spans="1:6" x14ac:dyDescent="0.25">
      <c r="A15" s="40" t="s">
        <v>13</v>
      </c>
      <c r="B15">
        <v>14</v>
      </c>
      <c r="C15" s="1">
        <v>-22.521144787104099</v>
      </c>
      <c r="D15" s="1">
        <v>-43.196203708648703</v>
      </c>
      <c r="E15" s="2">
        <f>Tabela1[[#This Row],[Latitude (graus)]]* PI()/180</f>
        <v>-0.39306812785332396</v>
      </c>
      <c r="F15" s="2">
        <f>Tabela1[[#This Row],[Longetude (graus)]]* PI()/180</f>
        <v>-0.75391597907810515</v>
      </c>
    </row>
    <row r="16" spans="1:6" x14ac:dyDescent="0.25">
      <c r="A16" s="40" t="s">
        <v>14</v>
      </c>
      <c r="B16">
        <v>15</v>
      </c>
      <c r="C16" s="1">
        <v>-22.5096777053657</v>
      </c>
      <c r="D16" s="1">
        <v>-43.1754192709923</v>
      </c>
      <c r="E16" s="2">
        <f>Tabela1[[#This Row],[Latitude (graus)]]* PI()/180</f>
        <v>-0.39286798952139351</v>
      </c>
      <c r="F16" s="2">
        <f>Tabela1[[#This Row],[Longetude (graus)]]* PI()/180</f>
        <v>-0.7535532222078255</v>
      </c>
    </row>
    <row r="17" spans="1:6" x14ac:dyDescent="0.25">
      <c r="A17" s="40" t="s">
        <v>15</v>
      </c>
      <c r="B17">
        <v>16</v>
      </c>
      <c r="C17" s="1">
        <v>-22.530948320607902</v>
      </c>
      <c r="D17" s="1">
        <v>-43.215181113313101</v>
      </c>
      <c r="E17" s="2">
        <f>Tabela1[[#This Row],[Latitude (graus)]]* PI()/180</f>
        <v>-0.39323923179129489</v>
      </c>
      <c r="F17" s="2">
        <f>Tabela1[[#This Row],[Longetude (graus)]]* PI()/180</f>
        <v>-0.75424719727298239</v>
      </c>
    </row>
    <row r="18" spans="1:6" x14ac:dyDescent="0.25">
      <c r="A18" s="40" t="s">
        <v>17</v>
      </c>
      <c r="B18">
        <v>17</v>
      </c>
      <c r="C18" s="1">
        <v>-22.516127436467301</v>
      </c>
      <c r="D18" s="1">
        <v>-43.200629353523297</v>
      </c>
      <c r="E18" s="2">
        <f>Tabela1[[#This Row],[Latitude (graus)]]* PI()/180</f>
        <v>-0.39298055856498476</v>
      </c>
      <c r="F18" s="2">
        <f>Tabela1[[#This Row],[Longetude (graus)]]* PI()/180</f>
        <v>-0.75399322115269096</v>
      </c>
    </row>
    <row r="19" spans="1:6" x14ac:dyDescent="0.25">
      <c r="A19" s="40" t="s">
        <v>18</v>
      </c>
      <c r="B19">
        <v>18</v>
      </c>
      <c r="C19" s="1">
        <v>-22.516201768917099</v>
      </c>
      <c r="D19" s="1">
        <v>-43.169062435626998</v>
      </c>
      <c r="E19" s="2">
        <f>Tabela1[[#This Row],[Latitude (graus)]]* PI()/180</f>
        <v>-0.39298185591097479</v>
      </c>
      <c r="F19" s="2">
        <f>Tabela1[[#This Row],[Longetude (graus)]]* PI()/180</f>
        <v>-0.75344227450069368</v>
      </c>
    </row>
    <row r="20" spans="1:6" x14ac:dyDescent="0.25">
      <c r="A20" s="40" t="s">
        <v>19</v>
      </c>
      <c r="B20">
        <v>19</v>
      </c>
      <c r="C20" s="1">
        <v>-22.507437697620201</v>
      </c>
      <c r="D20" s="1">
        <v>-43.174072802066803</v>
      </c>
      <c r="E20" s="2">
        <f>Tabela1[[#This Row],[Latitude (graus)]]* PI()/180</f>
        <v>-0.39282889401096438</v>
      </c>
      <c r="F20" s="2">
        <f>Tabela1[[#This Row],[Longetude (graus)]]* PI()/180</f>
        <v>-0.75352972189179979</v>
      </c>
    </row>
    <row r="21" spans="1:6" x14ac:dyDescent="0.25">
      <c r="A21" s="40" t="s">
        <v>20</v>
      </c>
      <c r="B21">
        <v>20</v>
      </c>
      <c r="C21" s="1">
        <v>-22.534032968234602</v>
      </c>
      <c r="D21" s="1">
        <v>-43.219565749168403</v>
      </c>
      <c r="E21" s="2">
        <f>Tabela1[[#This Row],[Latitude (graus)]]* PI()/180</f>
        <v>-0.39329306904864453</v>
      </c>
      <c r="F21" s="2">
        <f>Tabela1[[#This Row],[Longetude (graus)]]* PI()/180</f>
        <v>-0.75432372360515831</v>
      </c>
    </row>
    <row r="22" spans="1:6" x14ac:dyDescent="0.25">
      <c r="A22" s="40" t="s">
        <v>21</v>
      </c>
      <c r="B22">
        <v>21</v>
      </c>
      <c r="C22" s="1">
        <v>-22.507487255706302</v>
      </c>
      <c r="D22" s="1">
        <v>-43.188221454620397</v>
      </c>
      <c r="E22" s="2">
        <f>Tabela1[[#This Row],[Latitude (graus)]]* PI()/180</f>
        <v>-0.39282975896273786</v>
      </c>
      <c r="F22" s="2">
        <f>Tabela1[[#This Row],[Longetude (graus)]]* PI()/180</f>
        <v>-0.75377666246358077</v>
      </c>
    </row>
    <row r="23" spans="1:6" x14ac:dyDescent="0.25">
      <c r="A23" s="40" t="s">
        <v>22</v>
      </c>
      <c r="B23">
        <v>22</v>
      </c>
      <c r="C23" s="1">
        <v>-22.5045732100652</v>
      </c>
      <c r="D23" s="1">
        <v>-43.183189630508402</v>
      </c>
      <c r="E23" s="2">
        <f>Tabela1[[#This Row],[Latitude (graus)]]* PI()/180</f>
        <v>-0.39277889927174725</v>
      </c>
      <c r="F23" s="2">
        <f>Tabela1[[#This Row],[Longetude (graus)]]* PI()/180</f>
        <v>-0.75368884056544516</v>
      </c>
    </row>
    <row r="24" spans="1:6" x14ac:dyDescent="0.25">
      <c r="A24" s="40" t="s">
        <v>23</v>
      </c>
      <c r="B24">
        <v>23</v>
      </c>
      <c r="C24" s="1">
        <v>-22.505998027468401</v>
      </c>
      <c r="D24" s="1">
        <v>-43.180029988288901</v>
      </c>
      <c r="E24" s="2">
        <f>Tabela1[[#This Row],[Latitude (graus)]]* PI()/180</f>
        <v>-0.3928037670266728</v>
      </c>
      <c r="F24" s="2">
        <f>Tabela1[[#This Row],[Longetude (graus)]]* PI()/180</f>
        <v>-0.75363369440552974</v>
      </c>
    </row>
    <row r="25" spans="1:6" x14ac:dyDescent="0.25">
      <c r="A25" s="40" t="s">
        <v>24</v>
      </c>
      <c r="B25">
        <v>24</v>
      </c>
      <c r="C25" s="1">
        <v>-22.5107035375053</v>
      </c>
      <c r="D25" s="1">
        <v>-43.189238011836999</v>
      </c>
      <c r="E25" s="2">
        <f>Tabela1[[#This Row],[Latitude (graus)]]* PI()/180</f>
        <v>-0.39288589366980237</v>
      </c>
      <c r="F25" s="2">
        <f>Tabela1[[#This Row],[Longetude (graus)]]* PI()/180</f>
        <v>-0.75379440473404535</v>
      </c>
    </row>
    <row r="26" spans="1:6" x14ac:dyDescent="0.25">
      <c r="A26" s="40" t="s">
        <v>25</v>
      </c>
      <c r="B26">
        <v>25</v>
      </c>
      <c r="C26" s="1">
        <v>-22.509853633663401</v>
      </c>
      <c r="D26" s="1">
        <v>-43.175290525061698</v>
      </c>
      <c r="E26" s="2">
        <f>Tabela1[[#This Row],[Latitude (graus)]]* PI()/180</f>
        <v>-0.39287106004943584</v>
      </c>
      <c r="F26" s="2">
        <f>Tabela1[[#This Row],[Longetude (graus)]]* PI()/180</f>
        <v>-0.75355097516743796</v>
      </c>
    </row>
    <row r="27" spans="1:6" x14ac:dyDescent="0.25">
      <c r="A27" s="40" t="s">
        <v>26</v>
      </c>
      <c r="B27">
        <v>26</v>
      </c>
      <c r="C27" s="1">
        <v>-22.510044428863299</v>
      </c>
      <c r="D27" s="1">
        <v>-43.175687491995902</v>
      </c>
      <c r="E27" s="2">
        <f>Tabela1[[#This Row],[Latitude (graus)]]* PI()/180</f>
        <v>-0.39287439005387104</v>
      </c>
      <c r="F27" s="2">
        <f>Tabela1[[#This Row],[Longetude (graus)]]* PI()/180</f>
        <v>-0.75355790354746133</v>
      </c>
    </row>
    <row r="28" spans="1:6" x14ac:dyDescent="0.25">
      <c r="A28" s="40" t="s">
        <v>27</v>
      </c>
      <c r="B28">
        <v>27</v>
      </c>
      <c r="C28" s="1">
        <v>-22.507254332547401</v>
      </c>
      <c r="D28" s="1">
        <v>-43.1848579645157</v>
      </c>
      <c r="E28" s="2">
        <f>Tabela1[[#This Row],[Latitude (graus)]]* PI()/180</f>
        <v>-0.39282569368671083</v>
      </c>
      <c r="F28" s="2">
        <f>Tabela1[[#This Row],[Longetude (graus)]]* PI()/180</f>
        <v>-0.75371795848689549</v>
      </c>
    </row>
    <row r="29" spans="1:6" x14ac:dyDescent="0.25">
      <c r="A29" s="40" t="s">
        <v>28</v>
      </c>
      <c r="B29">
        <v>28</v>
      </c>
      <c r="C29" s="1">
        <v>-22.515384109770199</v>
      </c>
      <c r="D29" s="1">
        <v>-43.185496330261202</v>
      </c>
      <c r="E29" s="2">
        <f>Tabela1[[#This Row],[Latitude (graus)]]* PI()/180</f>
        <v>-0.39296758506670237</v>
      </c>
      <c r="F29" s="2">
        <f>Tabela1[[#This Row],[Longetude (graus)]]* PI()/180</f>
        <v>-0.75372910007098648</v>
      </c>
    </row>
    <row r="30" spans="1:6" x14ac:dyDescent="0.25">
      <c r="A30" s="40" t="s">
        <v>29</v>
      </c>
      <c r="B30">
        <v>29</v>
      </c>
      <c r="C30" s="1">
        <v>-22.508877352782701</v>
      </c>
      <c r="D30" s="1">
        <v>-43.173257410526297</v>
      </c>
      <c r="E30" s="2">
        <f>Tabela1[[#This Row],[Latitude (graus)]]* PI()/180</f>
        <v>-0.39285402073364334</v>
      </c>
      <c r="F30" s="2">
        <f>Tabela1[[#This Row],[Longetude (graus)]]* PI()/180</f>
        <v>-0.75351549062472511</v>
      </c>
    </row>
    <row r="31" spans="1:6" x14ac:dyDescent="0.25">
      <c r="A31" s="40" t="s">
        <v>30</v>
      </c>
      <c r="B31">
        <v>30</v>
      </c>
      <c r="C31" s="1">
        <v>-22.504516211145599</v>
      </c>
      <c r="D31" s="1">
        <v>-43.191335451241898</v>
      </c>
      <c r="E31" s="2">
        <f>Tabela1[[#This Row],[Latitude (graus)]]* PI()/180</f>
        <v>-0.39277790445293015</v>
      </c>
      <c r="F31" s="2">
        <f>Tabela1[[#This Row],[Longetude (graus)]]* PI()/180</f>
        <v>-0.75383101195752189</v>
      </c>
    </row>
    <row r="32" spans="1:6" x14ac:dyDescent="0.25">
      <c r="A32" s="40" t="s">
        <v>31</v>
      </c>
      <c r="B32">
        <v>31</v>
      </c>
      <c r="C32" s="1">
        <v>-22.520728539758601</v>
      </c>
      <c r="D32" s="1">
        <v>-43.188433349132502</v>
      </c>
      <c r="E32" s="2">
        <f>Tabela1[[#This Row],[Latitude (graus)]]* PI()/180</f>
        <v>-0.39306086296664228</v>
      </c>
      <c r="F32" s="2">
        <f>Tabela1[[#This Row],[Longetude (graus)]]* PI()/180</f>
        <v>-0.75378036072048393</v>
      </c>
    </row>
    <row r="33" spans="1:6" x14ac:dyDescent="0.25">
      <c r="A33" s="40" t="s">
        <v>32</v>
      </c>
      <c r="B33">
        <v>32</v>
      </c>
      <c r="C33" s="1">
        <v>-22.529206854393301</v>
      </c>
      <c r="D33" s="1">
        <v>-43.216575086116798</v>
      </c>
      <c r="E33" s="2">
        <f>Tabela1[[#This Row],[Latitude (graus)]]* PI()/180</f>
        <v>-0.39320883747203778</v>
      </c>
      <c r="F33" s="2">
        <f>Tabela1[[#This Row],[Longetude (graus)]]* PI()/180</f>
        <v>-0.75427152668809017</v>
      </c>
    </row>
    <row r="34" spans="1:6" x14ac:dyDescent="0.25">
      <c r="A34" s="40" t="s">
        <v>33</v>
      </c>
      <c r="B34">
        <v>33</v>
      </c>
      <c r="C34" s="1">
        <v>-22.523312721756401</v>
      </c>
      <c r="D34" s="1">
        <v>-43.170827329158797</v>
      </c>
      <c r="E34" s="2">
        <f>Tabela1[[#This Row],[Latitude (graus)]]* PI()/180</f>
        <v>-0.39310596545097459</v>
      </c>
      <c r="F34" s="2">
        <f>Tabela1[[#This Row],[Longetude (graus)]]* PI()/180</f>
        <v>-0.75347307770377081</v>
      </c>
    </row>
    <row r="35" spans="1:6" x14ac:dyDescent="0.25">
      <c r="A35" s="40" t="s">
        <v>34</v>
      </c>
      <c r="B35">
        <v>34</v>
      </c>
      <c r="C35" s="1">
        <v>-22.507262195944801</v>
      </c>
      <c r="D35" s="1">
        <v>-43.193403284989202</v>
      </c>
      <c r="E35" s="2">
        <f>Tabela1[[#This Row],[Latitude (graus)]]* PI()/180</f>
        <v>-0.3928258309288859</v>
      </c>
      <c r="F35" s="2">
        <f>Tabela1[[#This Row],[Longetude (graus)]]* PI()/180</f>
        <v>-0.75386710246479616</v>
      </c>
    </row>
    <row r="36" spans="1:6" x14ac:dyDescent="0.25">
      <c r="A36" s="40" t="s">
        <v>35</v>
      </c>
      <c r="B36">
        <v>35</v>
      </c>
      <c r="C36" s="1">
        <v>-22.519489700954001</v>
      </c>
      <c r="D36" s="1">
        <v>-43.193996250629397</v>
      </c>
      <c r="E36" s="2">
        <f>Tabela1[[#This Row],[Latitude (graus)]]* PI()/180</f>
        <v>-0.39303924115060057</v>
      </c>
      <c r="F36" s="2">
        <f>Tabela1[[#This Row],[Longetude (graus)]]* PI()/180</f>
        <v>-0.7538774516675687</v>
      </c>
    </row>
    <row r="37" spans="1:6" x14ac:dyDescent="0.25">
      <c r="A37" s="40" t="s">
        <v>36</v>
      </c>
      <c r="B37">
        <v>36</v>
      </c>
      <c r="C37" s="1">
        <v>-22.5099973495299</v>
      </c>
      <c r="D37" s="1">
        <v>-43.1751993298531</v>
      </c>
      <c r="E37" s="2">
        <f>Tabela1[[#This Row],[Latitude (graus)]]* PI()/180</f>
        <v>-0.39287356836449361</v>
      </c>
      <c r="F37" s="2">
        <f>Tabela1[[#This Row],[Longetude (graus)]]* PI()/180</f>
        <v>-0.75354938351078593</v>
      </c>
    </row>
    <row r="38" spans="1:6" x14ac:dyDescent="0.25">
      <c r="A38" s="40" t="s">
        <v>37</v>
      </c>
      <c r="B38">
        <v>37</v>
      </c>
      <c r="C38" s="1">
        <v>-22.508743547254898</v>
      </c>
      <c r="D38" s="1">
        <v>-43.183095753192902</v>
      </c>
      <c r="E38" s="2">
        <f>Tabela1[[#This Row],[Latitude (graus)]]* PI()/180</f>
        <v>-0.39285168538662585</v>
      </c>
      <c r="F38" s="2">
        <f>Tabela1[[#This Row],[Longetude (graus)]]* PI()/180</f>
        <v>-0.75368720209719686</v>
      </c>
    </row>
    <row r="39" spans="1:6" x14ac:dyDescent="0.25">
      <c r="A39" s="40" t="s">
        <v>38</v>
      </c>
      <c r="B39">
        <v>38</v>
      </c>
      <c r="C39" s="1">
        <v>-22.507385661610801</v>
      </c>
      <c r="D39" s="1">
        <v>-43.1700521707535</v>
      </c>
      <c r="E39" s="2">
        <f>Tabela1[[#This Row],[Latitude (graus)]]* PI()/180</f>
        <v>-0.39282798581127071</v>
      </c>
      <c r="F39" s="2">
        <f>Tabela1[[#This Row],[Longetude (graus)]]* PI()/180</f>
        <v>-0.75345954863737385</v>
      </c>
    </row>
    <row r="40" spans="1:6" x14ac:dyDescent="0.25">
      <c r="A40" s="40" t="s">
        <v>39</v>
      </c>
      <c r="B40">
        <v>39</v>
      </c>
      <c r="C40" s="1">
        <v>-22.507720178472699</v>
      </c>
      <c r="D40" s="1">
        <v>-43.187966644764003</v>
      </c>
      <c r="E40" s="2">
        <f>Tabela1[[#This Row],[Latitude (graus)]]* PI()/180</f>
        <v>-0.39283382423191432</v>
      </c>
      <c r="F40" s="2">
        <f>Tabela1[[#This Row],[Longetude (graus)]]* PI()/180</f>
        <v>-0.75377221519262005</v>
      </c>
    </row>
    <row r="41" spans="1:6" x14ac:dyDescent="0.25">
      <c r="A41" s="40" t="s">
        <v>40</v>
      </c>
      <c r="B41">
        <v>40</v>
      </c>
      <c r="C41" s="1">
        <v>-22.527868889001098</v>
      </c>
      <c r="D41" s="1">
        <v>-43.172815318370297</v>
      </c>
      <c r="E41" s="2">
        <f>Tabela1[[#This Row],[Latitude (graus)]]* PI()/180</f>
        <v>-0.39318548557066613</v>
      </c>
      <c r="F41" s="2">
        <f>Tabela1[[#This Row],[Longetude (graus)]]* PI()/180</f>
        <v>-0.75350777466100571</v>
      </c>
    </row>
    <row r="42" spans="1:6" x14ac:dyDescent="0.25">
      <c r="A42" s="40" t="s">
        <v>41</v>
      </c>
      <c r="B42">
        <v>41</v>
      </c>
      <c r="C42" s="1">
        <v>-22.508837706713901</v>
      </c>
      <c r="D42" s="1">
        <v>-43.17428201437</v>
      </c>
      <c r="E42" s="2">
        <f>Tabela1[[#This Row],[Latitude (graus)]]* PI()/180</f>
        <v>-0.39285332877920731</v>
      </c>
      <c r="F42" s="2">
        <f>Tabela1[[#This Row],[Longetude (graus)]]* PI()/180</f>
        <v>-0.75353337333532633</v>
      </c>
    </row>
    <row r="43" spans="1:6" x14ac:dyDescent="0.25">
      <c r="A43" s="40" t="s">
        <v>42</v>
      </c>
      <c r="B43">
        <v>42</v>
      </c>
      <c r="C43" s="1">
        <v>-22.5229708097505</v>
      </c>
      <c r="D43" s="1">
        <v>-43.194092810153997</v>
      </c>
      <c r="E43" s="2">
        <f>Tabela1[[#This Row],[Latitude (graus)]]* PI()/180</f>
        <v>-0.39309999796071959</v>
      </c>
      <c r="F43" s="2">
        <f>Tabela1[[#This Row],[Longetude (graus)]]* PI()/180</f>
        <v>-0.75387913694919717</v>
      </c>
    </row>
    <row r="44" spans="1:6" x14ac:dyDescent="0.25">
      <c r="A44" s="40" t="s">
        <v>43</v>
      </c>
      <c r="B44">
        <v>43</v>
      </c>
      <c r="C44" s="1">
        <v>-22.530361371304998</v>
      </c>
      <c r="D44" s="1">
        <v>-43.212361335754402</v>
      </c>
      <c r="E44" s="2">
        <f>Tabela1[[#This Row],[Latitude (graus)]]* PI()/180</f>
        <v>-0.3932289875934169</v>
      </c>
      <c r="F44" s="2">
        <f>Tabela1[[#This Row],[Longetude (graus)]]* PI()/180</f>
        <v>-0.75419798287040907</v>
      </c>
    </row>
    <row r="45" spans="1:6" x14ac:dyDescent="0.25">
      <c r="A45" s="40" t="s">
        <v>44</v>
      </c>
      <c r="B45">
        <v>44</v>
      </c>
      <c r="C45" s="1">
        <v>-22.5117194507215</v>
      </c>
      <c r="D45" s="1">
        <v>-43.1791394948959</v>
      </c>
      <c r="E45" s="2">
        <f>Tabela1[[#This Row],[Latitude (graus)]]* PI()/180</f>
        <v>-0.39290362470033957</v>
      </c>
      <c r="F45" s="2">
        <f>Tabela1[[#This Row],[Longetude (graus)]]* PI()/180</f>
        <v>-0.75361815236385465</v>
      </c>
    </row>
    <row r="46" spans="1:6" x14ac:dyDescent="0.25">
      <c r="A46" s="40" t="s">
        <v>45</v>
      </c>
      <c r="B46">
        <v>45</v>
      </c>
      <c r="C46" s="1">
        <v>-22.509251511997299</v>
      </c>
      <c r="D46" s="1">
        <v>-43.174043297767597</v>
      </c>
      <c r="E46" s="2">
        <f>Tabela1[[#This Row],[Latitude (graus)]]* PI()/180</f>
        <v>-0.39286055104386475</v>
      </c>
      <c r="F46" s="2">
        <f>Tabela1[[#This Row],[Longetude (graus)]]* PI()/180</f>
        <v>-0.75352920694463521</v>
      </c>
    </row>
    <row r="47" spans="1:6" x14ac:dyDescent="0.25">
      <c r="A47" s="40" t="s">
        <v>46</v>
      </c>
      <c r="B47">
        <v>46</v>
      </c>
      <c r="C47" s="1">
        <v>-22.508614697364902</v>
      </c>
      <c r="D47" s="1">
        <v>-43.172718286514304</v>
      </c>
      <c r="E47" s="2">
        <f>Tabela1[[#This Row],[Latitude (graus)]]* PI()/180</f>
        <v>-0.39284943653180454</v>
      </c>
      <c r="F47" s="2">
        <f>Tabela1[[#This Row],[Longetude (graus)]]* PI()/180</f>
        <v>-0.75350608113563922</v>
      </c>
    </row>
    <row r="48" spans="1:6" x14ac:dyDescent="0.25">
      <c r="A48" s="40" t="s">
        <v>47</v>
      </c>
      <c r="B48">
        <v>47</v>
      </c>
      <c r="C48" s="1">
        <v>-22.5294199204723</v>
      </c>
      <c r="D48" s="1">
        <v>-43.196675777435303</v>
      </c>
      <c r="E48" s="2">
        <f>Tabela1[[#This Row],[Latitude (graus)]]* PI()/180</f>
        <v>-0.39321255617664064</v>
      </c>
      <c r="F48" s="2">
        <f>Tabela1[[#This Row],[Longetude (graus)]]* PI()/180</f>
        <v>-0.75392421823272726</v>
      </c>
    </row>
    <row r="49" spans="1:6" x14ac:dyDescent="0.25">
      <c r="A49" s="40" t="s">
        <v>48</v>
      </c>
      <c r="B49">
        <v>48</v>
      </c>
      <c r="C49" s="1">
        <v>-22.511223884231601</v>
      </c>
      <c r="D49" s="1">
        <v>-43.177637457847602</v>
      </c>
      <c r="E49" s="2">
        <f>Tabela1[[#This Row],[Latitude (graus)]]* PI()/180</f>
        <v>-0.39289497543342827</v>
      </c>
      <c r="F49" s="2">
        <f>Tabela1[[#This Row],[Longetude (graus)]]* PI()/180</f>
        <v>-0.75359193687187498</v>
      </c>
    </row>
    <row r="50" spans="1:6" x14ac:dyDescent="0.25">
      <c r="A50" s="40" t="s">
        <v>49</v>
      </c>
      <c r="B50">
        <v>49</v>
      </c>
      <c r="C50" s="1">
        <v>-22.532444927830699</v>
      </c>
      <c r="D50" s="1">
        <v>-43.199843466281898</v>
      </c>
      <c r="E50" s="2">
        <f>Tabela1[[#This Row],[Latitude (graus)]]* PI()/180</f>
        <v>-0.39326535251494177</v>
      </c>
      <c r="F50" s="2">
        <f>Tabela1[[#This Row],[Longetude (graus)]]* PI()/180</f>
        <v>-0.75397950483277909</v>
      </c>
    </row>
    <row r="51" spans="1:6" x14ac:dyDescent="0.25">
      <c r="A51" s="40" t="s">
        <v>50</v>
      </c>
      <c r="B51">
        <v>50</v>
      </c>
      <c r="C51" s="1">
        <v>-22.509905668721199</v>
      </c>
      <c r="D51" s="1">
        <v>-43.183101117610903</v>
      </c>
      <c r="E51" s="2">
        <f>Tabela1[[#This Row],[Latitude (graus)]]* PI()/180</f>
        <v>-0.39287196823252091</v>
      </c>
      <c r="F51" s="2">
        <f>Tabela1[[#This Row],[Longetude (graus)]]* PI()/180</f>
        <v>-0.75368729572395332</v>
      </c>
    </row>
    <row r="52" spans="1:6" x14ac:dyDescent="0.25">
      <c r="A52" s="40" t="s">
        <v>51</v>
      </c>
      <c r="B52">
        <v>51</v>
      </c>
      <c r="C52" s="1">
        <v>-22.507638407759</v>
      </c>
      <c r="D52" s="1">
        <v>-43.176671862602198</v>
      </c>
      <c r="E52" s="2">
        <f>Tabela1[[#This Row],[Latitude (graus)]]* PI()/180</f>
        <v>-0.39283239706372858</v>
      </c>
      <c r="F52" s="2">
        <f>Tabela1[[#This Row],[Longetude (graus)]]* PI()/180</f>
        <v>-0.75357508405560103</v>
      </c>
    </row>
    <row r="53" spans="1:6" x14ac:dyDescent="0.25">
      <c r="A53" s="40" t="s">
        <v>52</v>
      </c>
      <c r="B53">
        <v>52</v>
      </c>
      <c r="C53" s="1">
        <v>-22.5102030116634</v>
      </c>
      <c r="D53" s="1">
        <v>-43.175609707832301</v>
      </c>
      <c r="E53" s="2">
        <f>Tabela1[[#This Row],[Latitude (graus)]]* PI()/180</f>
        <v>-0.39287715784586985</v>
      </c>
      <c r="F53" s="2">
        <f>Tabela1[[#This Row],[Longetude (graus)]]* PI()/180</f>
        <v>-0.75355654595770072</v>
      </c>
    </row>
    <row r="54" spans="1:6" x14ac:dyDescent="0.25">
      <c r="A54" s="40" t="s">
        <v>53</v>
      </c>
      <c r="B54">
        <v>53</v>
      </c>
      <c r="C54" s="1">
        <v>-22.512105991350399</v>
      </c>
      <c r="D54" s="1">
        <v>-43.1795230507851</v>
      </c>
      <c r="E54" s="2">
        <f>Tabela1[[#This Row],[Latitude (graus)]]* PI()/180</f>
        <v>-0.3929103711070065</v>
      </c>
      <c r="F54" s="2">
        <f>Tabela1[[#This Row],[Longetude (graus)]]* PI()/180</f>
        <v>-0.7536248466769867</v>
      </c>
    </row>
    <row r="55" spans="1:6" x14ac:dyDescent="0.25">
      <c r="A55" s="40" t="s">
        <v>54</v>
      </c>
      <c r="B55">
        <v>54</v>
      </c>
      <c r="C55" s="1">
        <v>-22.504744188928701</v>
      </c>
      <c r="D55" s="1">
        <v>-43.183291554451003</v>
      </c>
      <c r="E55" s="2">
        <f>Tabela1[[#This Row],[Latitude (graus)]]* PI()/180</f>
        <v>-0.39278188341586667</v>
      </c>
      <c r="F55" s="2">
        <f>Tabela1[[#This Row],[Longetude (graus)]]* PI()/180</f>
        <v>-0.75369061947383009</v>
      </c>
    </row>
    <row r="56" spans="1:6" x14ac:dyDescent="0.25">
      <c r="A56" s="40" t="s">
        <v>55</v>
      </c>
      <c r="B56">
        <v>55</v>
      </c>
      <c r="C56" s="1">
        <v>-22.515341987804302</v>
      </c>
      <c r="D56" s="1">
        <v>-43.187400698661797</v>
      </c>
      <c r="E56" s="2">
        <f>Tabela1[[#This Row],[Latitude (graus)]]* PI()/180</f>
        <v>-0.39296684989971004</v>
      </c>
      <c r="F56" s="2">
        <f>Tabela1[[#This Row],[Longetude (graus)]]* PI()/180</f>
        <v>-0.75376233756974786</v>
      </c>
    </row>
    <row r="57" spans="1:6" x14ac:dyDescent="0.25">
      <c r="A57" s="40" t="s">
        <v>56</v>
      </c>
      <c r="B57">
        <v>56</v>
      </c>
      <c r="C57" s="1">
        <v>-22.525440981086</v>
      </c>
      <c r="D57" s="1">
        <v>-43.211591541767099</v>
      </c>
      <c r="E57" s="2">
        <f>Tabela1[[#This Row],[Latitude (graus)]]* PI()/180</f>
        <v>-0.39314311058361245</v>
      </c>
      <c r="F57" s="2">
        <f>Tabela1[[#This Row],[Longetude (graus)]]* PI()/180</f>
        <v>-0.75418454743076879</v>
      </c>
    </row>
    <row r="58" spans="1:6" x14ac:dyDescent="0.25">
      <c r="A58" s="40" t="s">
        <v>57</v>
      </c>
      <c r="B58">
        <v>57</v>
      </c>
      <c r="C58" s="1">
        <v>-22.510884420160799</v>
      </c>
      <c r="D58" s="1">
        <v>-43.198928833007798</v>
      </c>
      <c r="E58" s="2">
        <f>Tabela1[[#This Row],[Latitude (graus)]]* PI()/180</f>
        <v>-0.39288905066770052</v>
      </c>
      <c r="F58" s="2">
        <f>Tabela1[[#This Row],[Longetude (graus)]]* PI()/180</f>
        <v>-0.75396354147069766</v>
      </c>
    </row>
    <row r="59" spans="1:6" x14ac:dyDescent="0.25">
      <c r="A59" s="40" t="s">
        <v>58</v>
      </c>
      <c r="B59">
        <v>58</v>
      </c>
      <c r="C59" s="1">
        <v>-22.510914154273301</v>
      </c>
      <c r="D59" s="1">
        <v>-43.199116587638898</v>
      </c>
      <c r="E59" s="2">
        <f>Tabela1[[#This Row],[Latitude (graus)]]* PI()/180</f>
        <v>-0.39288956962586385</v>
      </c>
      <c r="F59" s="2">
        <f>Tabela1[[#This Row],[Longetude (graus)]]* PI()/180</f>
        <v>-0.75396681840719626</v>
      </c>
    </row>
    <row r="60" spans="1:6" x14ac:dyDescent="0.25">
      <c r="A60" s="40" t="s">
        <v>59</v>
      </c>
      <c r="B60">
        <v>59</v>
      </c>
      <c r="C60" s="1">
        <v>-22.5334185647528</v>
      </c>
      <c r="D60" s="1">
        <v>-43.200178742408802</v>
      </c>
      <c r="E60" s="2">
        <f>Tabela1[[#This Row],[Latitude (graus)]]* PI()/180</f>
        <v>-0.39328234568495141</v>
      </c>
      <c r="F60" s="2">
        <f>Tabela1[[#This Row],[Longetude (graus)]]* PI()/180</f>
        <v>-0.7539853565050969</v>
      </c>
    </row>
    <row r="61" spans="1:6" x14ac:dyDescent="0.25">
      <c r="A61" s="40" t="s">
        <v>60</v>
      </c>
      <c r="B61">
        <v>60</v>
      </c>
      <c r="C61" s="1">
        <v>-22.5045880778009</v>
      </c>
      <c r="D61" s="1">
        <v>-43.191222846507998</v>
      </c>
      <c r="E61" s="2">
        <f>Tabela1[[#This Row],[Latitude (graus)]]* PI()/180</f>
        <v>-0.39277915876268749</v>
      </c>
      <c r="F61" s="2">
        <f>Tabela1[[#This Row],[Longetude (graus)]]* PI()/180</f>
        <v>-0.75382904663416195</v>
      </c>
    </row>
    <row r="62" spans="1:6" x14ac:dyDescent="0.25">
      <c r="A62" s="40" t="s">
        <v>61</v>
      </c>
      <c r="B62">
        <v>61</v>
      </c>
      <c r="C62" s="1">
        <v>-22.508964078518598</v>
      </c>
      <c r="D62" s="1">
        <v>-43.183321058750202</v>
      </c>
      <c r="E62" s="2">
        <f>Tabela1[[#This Row],[Latitude (graus)]]* PI()/180</f>
        <v>-0.39285553438328097</v>
      </c>
      <c r="F62" s="2">
        <f>Tabela1[[#This Row],[Longetude (graus)]]* PI()/180</f>
        <v>-0.75369113442099467</v>
      </c>
    </row>
    <row r="63" spans="1:6" x14ac:dyDescent="0.25">
      <c r="A63" s="40" t="s">
        <v>62</v>
      </c>
      <c r="B63">
        <v>62</v>
      </c>
      <c r="C63" s="1">
        <v>-22.507754869063898</v>
      </c>
      <c r="D63" s="1">
        <v>-43.176913261413603</v>
      </c>
      <c r="E63" s="2">
        <f>Tabela1[[#This Row],[Latitude (graus)]]* PI()/180</f>
        <v>-0.3928344296969502</v>
      </c>
      <c r="F63" s="2">
        <f>Tabela1[[#This Row],[Longetude (graus)]]* PI()/180</f>
        <v>-0.75357929725967054</v>
      </c>
    </row>
    <row r="64" spans="1:6" x14ac:dyDescent="0.25">
      <c r="A64" s="40" t="s">
        <v>63</v>
      </c>
      <c r="B64">
        <v>63</v>
      </c>
      <c r="C64" s="1">
        <v>-22.509823899299999</v>
      </c>
      <c r="D64" s="1">
        <v>-43.183205723762498</v>
      </c>
      <c r="E64" s="2">
        <f>Tabela1[[#This Row],[Latitude (graus)]]* PI()/180</f>
        <v>-0.39287054108689345</v>
      </c>
      <c r="F64" s="2">
        <f>Tabela1[[#This Row],[Longetude (graus)]]* PI()/180</f>
        <v>-0.75368912144571643</v>
      </c>
    </row>
    <row r="65" spans="1:6" x14ac:dyDescent="0.25">
      <c r="A65" s="40" t="s">
        <v>64</v>
      </c>
      <c r="B65">
        <v>64</v>
      </c>
      <c r="C65" s="1">
        <v>-22.510126198131299</v>
      </c>
      <c r="D65" s="1">
        <v>-43.182387650012998</v>
      </c>
      <c r="E65" s="2">
        <f>Tabela1[[#This Row],[Latitude (graus)]]* PI()/180</f>
        <v>-0.39287581719682463</v>
      </c>
      <c r="F65" s="2">
        <f>Tabela1[[#This Row],[Longetude (graus)]]* PI()/180</f>
        <v>-0.75367484336526358</v>
      </c>
    </row>
    <row r="66" spans="1:6" x14ac:dyDescent="0.25">
      <c r="A66" s="40" t="s">
        <v>65</v>
      </c>
      <c r="B66">
        <v>65</v>
      </c>
      <c r="C66" s="1">
        <v>-22.509781775639802</v>
      </c>
      <c r="D66" s="1">
        <v>-43.175816237926497</v>
      </c>
      <c r="E66" s="2">
        <f>Tabela1[[#This Row],[Latitude (graus)]]* PI()/180</f>
        <v>-0.39286980589033005</v>
      </c>
      <c r="F66" s="2">
        <f>Tabela1[[#This Row],[Longetude (graus)]]* PI()/180</f>
        <v>-0.75356015058784875</v>
      </c>
    </row>
    <row r="67" spans="1:6" x14ac:dyDescent="0.25">
      <c r="A67" s="40" t="s">
        <v>66</v>
      </c>
      <c r="B67">
        <v>66</v>
      </c>
      <c r="C67" s="1">
        <v>-22.509747085557201</v>
      </c>
      <c r="D67" s="1">
        <v>-43.1750357151031</v>
      </c>
      <c r="E67" s="2">
        <f>Tabela1[[#This Row],[Latitude (graus)]]* PI()/180</f>
        <v>-0.39286920043417084</v>
      </c>
      <c r="F67" s="2">
        <f>Tabela1[[#This Row],[Longetude (graus)]]* PI()/180</f>
        <v>-0.75354652789469356</v>
      </c>
    </row>
    <row r="68" spans="1:6" x14ac:dyDescent="0.25">
      <c r="A68" s="40" t="s">
        <v>67</v>
      </c>
      <c r="B68">
        <v>67</v>
      </c>
      <c r="C68" s="1">
        <v>-22.5080200040093</v>
      </c>
      <c r="D68" s="1">
        <v>-43.188572824001298</v>
      </c>
      <c r="E68" s="2">
        <f>Tabela1[[#This Row],[Latitude (graus)]]* PI()/180</f>
        <v>-0.39283905717470957</v>
      </c>
      <c r="F68" s="2">
        <f>Tabela1[[#This Row],[Longetude (graus)]]* PI()/180</f>
        <v>-0.75378279501616818</v>
      </c>
    </row>
    <row r="69" spans="1:6" x14ac:dyDescent="0.25">
      <c r="A69" s="40" t="s">
        <v>68</v>
      </c>
      <c r="B69">
        <v>68</v>
      </c>
      <c r="C69" s="1">
        <v>-22.522618986368499</v>
      </c>
      <c r="D69" s="1">
        <v>-43.183452486991897</v>
      </c>
      <c r="E69" s="2">
        <f>Tabela1[[#This Row],[Latitude (graus)]]* PI()/180</f>
        <v>-0.39309385748431813</v>
      </c>
      <c r="F69" s="2">
        <f>Tabela1[[#This Row],[Longetude (graus)]]* PI()/180</f>
        <v>-0.75369342827654229</v>
      </c>
    </row>
    <row r="70" spans="1:6" x14ac:dyDescent="0.25">
      <c r="A70" s="40" t="s">
        <v>69</v>
      </c>
      <c r="B70">
        <v>69</v>
      </c>
      <c r="C70" s="1">
        <v>-22.527873945184499</v>
      </c>
      <c r="D70" s="1">
        <v>-43.172171115875301</v>
      </c>
      <c r="E70" s="2">
        <f>Tabela1[[#This Row],[Latitude (graus)]]* PI()/180</f>
        <v>-0.39318557381771407</v>
      </c>
      <c r="F70" s="2">
        <f>Tabela1[[#This Row],[Longetude (graus)]]* PI()/180</f>
        <v>-0.75349653120641846</v>
      </c>
    </row>
    <row r="71" spans="1:6" x14ac:dyDescent="0.25">
      <c r="A71" s="40" t="s">
        <v>70</v>
      </c>
      <c r="B71">
        <v>70</v>
      </c>
      <c r="C71" s="1">
        <v>-22.510653980572101</v>
      </c>
      <c r="D71" s="1">
        <v>-43.183734118938503</v>
      </c>
      <c r="E71" s="2">
        <f>Tabela1[[#This Row],[Latitude (graus)]]* PI()/180</f>
        <v>-0.39288502873815084</v>
      </c>
      <c r="F71" s="2">
        <f>Tabela1[[#This Row],[Longetude (graus)]]* PI()/180</f>
        <v>-0.75369834368128941</v>
      </c>
    </row>
    <row r="72" spans="1:6" x14ac:dyDescent="0.25">
      <c r="A72" s="40" t="s">
        <v>71</v>
      </c>
      <c r="B72">
        <v>71</v>
      </c>
      <c r="C72" s="1">
        <v>-22.510160888118801</v>
      </c>
      <c r="D72" s="1">
        <v>-43.175920844078099</v>
      </c>
      <c r="E72" s="2">
        <f>Tabela1[[#This Row],[Latitude (graus)]]* PI()/180</f>
        <v>-0.392876422651324</v>
      </c>
      <c r="F72" s="2">
        <f>Tabela1[[#This Row],[Longetude (graus)]]* PI()/180</f>
        <v>-0.75356197630961208</v>
      </c>
    </row>
    <row r="73" spans="1:6" x14ac:dyDescent="0.25">
      <c r="A73" s="40" t="s">
        <v>72</v>
      </c>
      <c r="B73">
        <v>72</v>
      </c>
      <c r="C73" s="1">
        <v>-22.519702782019198</v>
      </c>
      <c r="D73" s="1">
        <v>-43.194245696067803</v>
      </c>
      <c r="E73" s="2">
        <f>Tabela1[[#This Row],[Latitude (graus)]]* PI()/180</f>
        <v>-0.39304296011676187</v>
      </c>
      <c r="F73" s="2">
        <f>Tabela1[[#This Row],[Longetude (graus)]]* PI()/180</f>
        <v>-0.75388180531177307</v>
      </c>
    </row>
    <row r="74" spans="1:6" x14ac:dyDescent="0.25">
      <c r="A74" s="40" t="s">
        <v>73</v>
      </c>
      <c r="B74">
        <v>73</v>
      </c>
      <c r="C74" s="1">
        <v>-22.504062750171698</v>
      </c>
      <c r="D74" s="1">
        <v>-43.188956379890399</v>
      </c>
      <c r="E74" s="2">
        <f>Tabela1[[#This Row],[Latitude (graus)]]* PI()/180</f>
        <v>-0.39276999006590629</v>
      </c>
      <c r="F74" s="2">
        <f>Tabela1[[#This Row],[Longetude (graus)]]* PI()/180</f>
        <v>-0.75378948932929846</v>
      </c>
    </row>
    <row r="75" spans="1:6" x14ac:dyDescent="0.25">
      <c r="A75" s="40" t="s">
        <v>74</v>
      </c>
      <c r="B75">
        <v>74</v>
      </c>
      <c r="C75" s="1">
        <v>-22.508924432474601</v>
      </c>
      <c r="D75" s="1">
        <v>-43.1824547052383</v>
      </c>
      <c r="E75" s="2">
        <f>Tabela1[[#This Row],[Latitude (graus)]]* PI()/180</f>
        <v>-0.39285484242927782</v>
      </c>
      <c r="F75" s="2">
        <f>Tabela1[[#This Row],[Longetude (graus)]]* PI()/180</f>
        <v>-0.7536760136997257</v>
      </c>
    </row>
    <row r="76" spans="1:6" x14ac:dyDescent="0.25">
      <c r="A76" s="40" t="s">
        <v>75</v>
      </c>
      <c r="B76">
        <v>75</v>
      </c>
      <c r="C76" s="1">
        <v>-22.507088312609699</v>
      </c>
      <c r="D76" s="1">
        <v>-43.185091316700003</v>
      </c>
      <c r="E76" s="2">
        <f>Tabela1[[#This Row],[Latitude (graus)]]* PI()/180</f>
        <v>-0.39282279609217396</v>
      </c>
      <c r="F76" s="2">
        <f>Tabela1[[#This Row],[Longetude (graus)]]* PI()/180</f>
        <v>-0.75372203125082837</v>
      </c>
    </row>
    <row r="77" spans="1:6" x14ac:dyDescent="0.25">
      <c r="A77" s="40" t="s">
        <v>76</v>
      </c>
      <c r="B77">
        <v>76</v>
      </c>
      <c r="C77" s="1">
        <v>-22.520921797610701</v>
      </c>
      <c r="D77" s="1">
        <v>-43.227725028991699</v>
      </c>
      <c r="E77" s="2">
        <f>Tabela1[[#This Row],[Latitude (graus)]]* PI()/180</f>
        <v>-0.39306423595246676</v>
      </c>
      <c r="F77" s="2">
        <f>Tabela1[[#This Row],[Longetude (graus)]]* PI()/180</f>
        <v>-0.75446612990266637</v>
      </c>
    </row>
    <row r="78" spans="1:6" x14ac:dyDescent="0.25">
      <c r="A78" s="40" t="s">
        <v>77</v>
      </c>
      <c r="B78">
        <v>77</v>
      </c>
      <c r="C78" s="1">
        <v>-22.505849351555799</v>
      </c>
      <c r="D78" s="1">
        <v>-43.180198967456803</v>
      </c>
      <c r="E78" s="2">
        <f>Tabela1[[#This Row],[Latitude (graus)]]* PI()/180</f>
        <v>-0.3928011721424795</v>
      </c>
      <c r="F78" s="2">
        <f>Tabela1[[#This Row],[Longetude (graus)]]* PI()/180</f>
        <v>-0.75363664364837701</v>
      </c>
    </row>
    <row r="79" spans="1:6" x14ac:dyDescent="0.25">
      <c r="A79" s="40" t="s">
        <v>78</v>
      </c>
      <c r="B79">
        <v>78</v>
      </c>
      <c r="C79" s="1">
        <v>-22.514487156900199</v>
      </c>
      <c r="D79" s="1">
        <v>-43.175770640373202</v>
      </c>
      <c r="E79" s="2">
        <f>Tabela1[[#This Row],[Latitude (graus)]]* PI()/180</f>
        <v>-0.39295193028588565</v>
      </c>
      <c r="F79" s="2">
        <f>Tabela1[[#This Row],[Longetude (graus)]]* PI()/180</f>
        <v>-0.75355935476041291</v>
      </c>
    </row>
    <row r="80" spans="1:6" x14ac:dyDescent="0.25">
      <c r="A80" s="40" t="s">
        <v>79</v>
      </c>
      <c r="B80">
        <v>79</v>
      </c>
      <c r="C80" s="1">
        <v>-22.5033466163685</v>
      </c>
      <c r="D80" s="1">
        <v>-43.1698322296143</v>
      </c>
      <c r="E80" s="2">
        <f>Tabela1[[#This Row],[Latitude (graus)]]* PI()/180</f>
        <v>-0.39275749117315556</v>
      </c>
      <c r="F80" s="2">
        <f>Tabela1[[#This Row],[Longetude (graus)]]* PI()/180</f>
        <v>-0.75345570994033417</v>
      </c>
    </row>
    <row r="81" spans="1:6" x14ac:dyDescent="0.25">
      <c r="A81" s="40" t="s">
        <v>80</v>
      </c>
      <c r="B81">
        <v>80</v>
      </c>
      <c r="C81" s="1">
        <v>-22.508632042549401</v>
      </c>
      <c r="D81" s="1">
        <v>-43.169285058975198</v>
      </c>
      <c r="E81" s="2">
        <f>Tabela1[[#This Row],[Latitude (graus)]]* PI()/180</f>
        <v>-0.39284973926238348</v>
      </c>
      <c r="F81" s="2">
        <f>Tabela1[[#This Row],[Longetude (graus)]]* PI()/180</f>
        <v>-0.75344616001111164</v>
      </c>
    </row>
    <row r="82" spans="1:6" x14ac:dyDescent="0.25">
      <c r="A82" s="40" t="s">
        <v>81</v>
      </c>
      <c r="B82">
        <v>81</v>
      </c>
      <c r="C82" s="1">
        <v>-22.525978615333599</v>
      </c>
      <c r="D82" s="1">
        <v>-43.1718170642853</v>
      </c>
      <c r="E82" s="2">
        <f>Tabela1[[#This Row],[Latitude (graus)]]* PI()/180</f>
        <v>-0.39315249407140451</v>
      </c>
      <c r="F82" s="2">
        <f>Tabela1[[#This Row],[Longetude (graus)]]* PI()/180</f>
        <v>-0.75349035184045099</v>
      </c>
    </row>
    <row r="83" spans="1:6" x14ac:dyDescent="0.25">
      <c r="A83" s="40" t="s">
        <v>82</v>
      </c>
      <c r="B83">
        <v>82</v>
      </c>
      <c r="C83" s="1">
        <v>-22.522351420458701</v>
      </c>
      <c r="D83" s="1">
        <v>-43.198032759081499</v>
      </c>
      <c r="E83" s="2">
        <f>Tabela1[[#This Row],[Latitude (graus)]]* PI()/180</f>
        <v>-0.39308918757822614</v>
      </c>
      <c r="F83" s="2">
        <f>Tabela1[[#This Row],[Longetude (graus)]]* PI()/180</f>
        <v>-0.75394790203034256</v>
      </c>
    </row>
    <row r="84" spans="1:6" x14ac:dyDescent="0.25">
      <c r="A84" s="40" t="s">
        <v>83</v>
      </c>
      <c r="B84">
        <v>83</v>
      </c>
      <c r="C84" s="1">
        <v>-22.508852573991</v>
      </c>
      <c r="D84" s="1">
        <v>-43.169682025909403</v>
      </c>
      <c r="E84" s="2">
        <f>Tabela1[[#This Row],[Latitude (graus)]]* PI()/180</f>
        <v>-0.3928535882621435</v>
      </c>
      <c r="F84" s="2">
        <f>Tabela1[[#This Row],[Longetude (graus)]]* PI()/180</f>
        <v>-0.75345308839113501</v>
      </c>
    </row>
    <row r="85" spans="1:6" x14ac:dyDescent="0.25">
      <c r="A85" s="40" t="s">
        <v>84</v>
      </c>
      <c r="B85">
        <v>84</v>
      </c>
      <c r="C85" s="1">
        <v>-22.506359741277301</v>
      </c>
      <c r="D85" s="1">
        <v>-43.179619870291504</v>
      </c>
      <c r="E85" s="2">
        <f>Tabela1[[#This Row],[Latitude (graus)]]* PI()/180</f>
        <v>-0.39281008012358803</v>
      </c>
      <c r="F85" s="2">
        <f>Tabela1[[#This Row],[Longetude (graus)]]* PI()/180</f>
        <v>-0.75362653649615352</v>
      </c>
    </row>
    <row r="86" spans="1:6" x14ac:dyDescent="0.25">
      <c r="A86" s="40" t="s">
        <v>85</v>
      </c>
      <c r="B86">
        <v>85</v>
      </c>
      <c r="C86" s="1">
        <v>-22.511845819892201</v>
      </c>
      <c r="D86" s="1">
        <v>-43.179769814014399</v>
      </c>
      <c r="E86" s="2">
        <f>Tabela1[[#This Row],[Latitude (graus)]]* PI()/180</f>
        <v>-0.39290583025844134</v>
      </c>
      <c r="F86" s="2">
        <f>Tabela1[[#This Row],[Longetude (graus)]]* PI()/180</f>
        <v>-0.75362915350781079</v>
      </c>
    </row>
    <row r="87" spans="1:6" x14ac:dyDescent="0.25">
      <c r="A87" s="40" t="s">
        <v>86</v>
      </c>
      <c r="B87">
        <v>86</v>
      </c>
      <c r="C87" s="1">
        <v>-22.532863617322899</v>
      </c>
      <c r="D87" s="1">
        <v>-43.204832375049598</v>
      </c>
      <c r="E87" s="2">
        <f>Tabela1[[#This Row],[Latitude (graus)]]* PI()/180</f>
        <v>-0.39327266002512418</v>
      </c>
      <c r="F87" s="2">
        <f>Tabela1[[#This Row],[Longetude (graus)]]* PI()/180</f>
        <v>-0.75406657771685703</v>
      </c>
    </row>
    <row r="88" spans="1:6" x14ac:dyDescent="0.25">
      <c r="A88" s="40" t="s">
        <v>87</v>
      </c>
      <c r="B88">
        <v>87</v>
      </c>
      <c r="C88" s="1">
        <v>-22.511897854223001</v>
      </c>
      <c r="D88" s="1">
        <v>-43.1790187954903</v>
      </c>
      <c r="E88" s="2">
        <f>Tabela1[[#This Row],[Latitude (graus)]]* PI()/180</f>
        <v>-0.39290673842883783</v>
      </c>
      <c r="F88" s="2">
        <f>Tabela1[[#This Row],[Longetude (graus)]]* PI()/180</f>
        <v>-0.75361604576182184</v>
      </c>
    </row>
    <row r="89" spans="1:6" x14ac:dyDescent="0.25">
      <c r="A89" s="40" t="s">
        <v>88</v>
      </c>
      <c r="B89">
        <v>88</v>
      </c>
      <c r="C89" s="1">
        <v>-22.516622985377801</v>
      </c>
      <c r="D89" s="1">
        <v>-43.191469609737403</v>
      </c>
      <c r="E89" s="2">
        <f>Tabela1[[#This Row],[Latitude (graus)]]* PI()/180</f>
        <v>-0.3929892075250776</v>
      </c>
      <c r="F89" s="2">
        <f>Tabela1[[#This Row],[Longetude (graus)]]* PI()/180</f>
        <v>-0.75383335346498792</v>
      </c>
    </row>
    <row r="90" spans="1:6" x14ac:dyDescent="0.25">
      <c r="A90" s="40" t="s">
        <v>89</v>
      </c>
      <c r="B90">
        <v>89</v>
      </c>
      <c r="C90" s="1">
        <v>-22.5115137908438</v>
      </c>
      <c r="D90" s="1">
        <v>-43.177664279937702</v>
      </c>
      <c r="E90" s="2">
        <f>Tabela1[[#This Row],[Latitude (graus)]]* PI()/180</f>
        <v>-0.39290003525833439</v>
      </c>
      <c r="F90" s="2">
        <f>Tabela1[[#This Row],[Longetude (graus)]]* PI()/180</f>
        <v>-0.75359240500565949</v>
      </c>
    </row>
    <row r="91" spans="1:6" x14ac:dyDescent="0.25">
      <c r="A91" s="40" t="s">
        <v>90</v>
      </c>
      <c r="B91">
        <v>90</v>
      </c>
      <c r="C91" s="1">
        <v>-22.5095042547348</v>
      </c>
      <c r="D91" s="1">
        <v>-43.175969123840297</v>
      </c>
      <c r="E91" s="2">
        <f>Tabela1[[#This Row],[Latitude (graus)]]* PI()/180</f>
        <v>-0.39286496223679468</v>
      </c>
      <c r="F91" s="2">
        <f>Tabela1[[#This Row],[Longetude (graus)]]* PI()/180</f>
        <v>-0.75356281895042454</v>
      </c>
    </row>
    <row r="92" spans="1:6" x14ac:dyDescent="0.25">
      <c r="A92" s="40" t="s">
        <v>91</v>
      </c>
      <c r="B92">
        <v>91</v>
      </c>
      <c r="C92" s="1">
        <v>-22.505048976813299</v>
      </c>
      <c r="D92" s="1">
        <v>-43.1825190782547</v>
      </c>
      <c r="E92" s="2">
        <f>Tabela1[[#This Row],[Latitude (graus)]]* PI()/180</f>
        <v>-0.39278720296797309</v>
      </c>
      <c r="F92" s="2">
        <f>Tabela1[[#This Row],[Longetude (graus)]]* PI()/180</f>
        <v>-0.75367713722081142</v>
      </c>
    </row>
    <row r="93" spans="1:6" x14ac:dyDescent="0.25">
      <c r="A93" s="40" t="s">
        <v>92</v>
      </c>
      <c r="B93">
        <v>92</v>
      </c>
      <c r="C93" s="1">
        <v>-22.507251828826899</v>
      </c>
      <c r="D93" s="1">
        <v>-43.188495208693901</v>
      </c>
      <c r="E93" s="2">
        <f>Tabela1[[#This Row],[Latitude (graus)]]* PI()/180</f>
        <v>-0.39282564998854458</v>
      </c>
      <c r="F93" s="2">
        <f>Tabela1[[#This Row],[Longetude (graus)]]* PI()/180</f>
        <v>-0.75378144037350414</v>
      </c>
    </row>
    <row r="94" spans="1:6" x14ac:dyDescent="0.25">
      <c r="A94" s="40" t="s">
        <v>93</v>
      </c>
      <c r="B94">
        <v>93</v>
      </c>
      <c r="C94" s="1">
        <v>-22.508760892423201</v>
      </c>
      <c r="D94" s="1">
        <v>-43.172624409198797</v>
      </c>
      <c r="E94" s="2">
        <f>Tabela1[[#This Row],[Latitude (graus)]]* PI()/180</f>
        <v>-0.39285198811692201</v>
      </c>
      <c r="F94" s="2">
        <f>Tabela1[[#This Row],[Longetude (graus)]]* PI()/180</f>
        <v>-0.75350444266739058</v>
      </c>
    </row>
    <row r="95" spans="1:6" x14ac:dyDescent="0.25">
      <c r="A95" s="40" t="s">
        <v>94</v>
      </c>
      <c r="B95">
        <v>94</v>
      </c>
      <c r="C95" s="1">
        <v>-22.513481175209801</v>
      </c>
      <c r="D95" s="1">
        <v>-43.188736438751199</v>
      </c>
      <c r="E95" s="2">
        <f>Tabela1[[#This Row],[Latitude (graus)]]* PI()/180</f>
        <v>-0.39293437259317343</v>
      </c>
      <c r="F95" s="2">
        <f>Tabela1[[#This Row],[Longetude (graus)]]* PI()/180</f>
        <v>-0.75378565063225866</v>
      </c>
    </row>
    <row r="96" spans="1:6" x14ac:dyDescent="0.25">
      <c r="A96" s="40" t="s">
        <v>95</v>
      </c>
      <c r="B96">
        <v>95</v>
      </c>
      <c r="C96" s="1">
        <v>-22.508587440642099</v>
      </c>
      <c r="D96" s="1">
        <v>-43.169024884700796</v>
      </c>
      <c r="E96" s="2">
        <f>Tabela1[[#This Row],[Latitude (graus)]]* PI()/180</f>
        <v>-0.39284896081224835</v>
      </c>
      <c r="F96" s="2">
        <f>Tabela1[[#This Row],[Longetude (graus)]]* PI()/180</f>
        <v>-0.75344161911339447</v>
      </c>
    </row>
    <row r="97" spans="1:6" x14ac:dyDescent="0.25">
      <c r="A97" s="40" t="s">
        <v>96</v>
      </c>
      <c r="B97">
        <v>96</v>
      </c>
      <c r="C97" s="1">
        <v>-22.514668034604899</v>
      </c>
      <c r="D97" s="1">
        <v>-43.175435364246397</v>
      </c>
      <c r="E97" s="2">
        <f>Tabela1[[#This Row],[Latitude (graus)]]* PI()/180</f>
        <v>-0.39295508719737604</v>
      </c>
      <c r="F97" s="2">
        <f>Tabela1[[#This Row],[Longetude (graus)]]* PI()/180</f>
        <v>-0.75355350308809677</v>
      </c>
    </row>
    <row r="98" spans="1:6" x14ac:dyDescent="0.25">
      <c r="A98" s="40" t="s">
        <v>97</v>
      </c>
      <c r="B98">
        <v>97</v>
      </c>
      <c r="C98" s="1">
        <v>-22.5124231520848</v>
      </c>
      <c r="D98" s="1">
        <v>-43.172471523284898</v>
      </c>
      <c r="E98" s="2">
        <f>Tabela1[[#This Row],[Latitude (graus)]]* PI()/180</f>
        <v>-0.39291590660607989</v>
      </c>
      <c r="F98" s="2">
        <f>Tabela1[[#This Row],[Longetude (graus)]]* PI()/180</f>
        <v>-0.75350177430481324</v>
      </c>
    </row>
    <row r="99" spans="1:6" x14ac:dyDescent="0.25">
      <c r="A99" s="40" t="s">
        <v>98</v>
      </c>
      <c r="B99">
        <v>98</v>
      </c>
      <c r="C99" s="1">
        <v>-22.5126932336991</v>
      </c>
      <c r="D99" s="1">
        <v>-43.177766203880303</v>
      </c>
      <c r="E99" s="2">
        <f>Tabela1[[#This Row],[Latitude (graus)]]* PI()/180</f>
        <v>-0.39292062041949849</v>
      </c>
      <c r="F99" s="2">
        <f>Tabela1[[#This Row],[Longetude (graus)]]* PI()/180</f>
        <v>-0.75359418391404442</v>
      </c>
    </row>
    <row r="100" spans="1:6" x14ac:dyDescent="0.25">
      <c r="A100" s="40" t="s">
        <v>99</v>
      </c>
      <c r="B100">
        <v>99</v>
      </c>
      <c r="C100" s="1">
        <v>-22.5072741558103</v>
      </c>
      <c r="D100" s="1">
        <v>-43.185257613658898</v>
      </c>
      <c r="E100" s="2">
        <f>Tabela1[[#This Row],[Latitude (graus)]]* PI()/180</f>
        <v>-0.39282603966791696</v>
      </c>
      <c r="F100" s="2">
        <f>Tabela1[[#This Row],[Longetude (graus)]]* PI()/180</f>
        <v>-0.75372493368029703</v>
      </c>
    </row>
    <row r="101" spans="1:6" x14ac:dyDescent="0.25">
      <c r="A101" s="40" t="s">
        <v>100</v>
      </c>
      <c r="B101">
        <v>100</v>
      </c>
      <c r="C101" s="1">
        <v>-22.5093654940733</v>
      </c>
      <c r="D101" s="1">
        <v>-43.1756713986397</v>
      </c>
      <c r="E101" s="2">
        <f>Tabela1[[#This Row],[Latitude (graus)]]* PI()/180</f>
        <v>-0.39286254040637925</v>
      </c>
      <c r="F101" s="2">
        <f>Tabela1[[#This Row],[Longetude (graus)]]* PI()/180</f>
        <v>-0.75355762266540804</v>
      </c>
    </row>
    <row r="102" spans="1:6" x14ac:dyDescent="0.25">
      <c r="A102" s="40" t="s">
        <v>101</v>
      </c>
      <c r="B102">
        <v>101</v>
      </c>
      <c r="C102" s="1">
        <v>-22.5112288399053</v>
      </c>
      <c r="D102" s="1">
        <v>-43.178069293499</v>
      </c>
      <c r="E102" s="2">
        <f>Tabela1[[#This Row],[Latitude (graus)]]* PI()/180</f>
        <v>-0.39289506192625101</v>
      </c>
      <c r="F102" s="2">
        <f>Tabela1[[#This Row],[Longetude (graus)]]* PI()/180</f>
        <v>-0.75359947382581938</v>
      </c>
    </row>
    <row r="103" spans="1:6" x14ac:dyDescent="0.25">
      <c r="A103" s="40" t="s">
        <v>102</v>
      </c>
      <c r="B103">
        <v>102</v>
      </c>
      <c r="C103" s="1">
        <v>-22.506922292472499</v>
      </c>
      <c r="D103" s="1">
        <v>-43.193532228469799</v>
      </c>
      <c r="E103" s="2">
        <f>Tabela1[[#This Row],[Latitude (graus)]]* PI()/180</f>
        <v>-0.39281989849415522</v>
      </c>
      <c r="F103" s="2">
        <f>Tabela1[[#This Row],[Longetude (graus)]]* PI()/180</f>
        <v>-0.75386935295308166</v>
      </c>
    </row>
    <row r="104" spans="1:6" x14ac:dyDescent="0.25">
      <c r="A104" s="40" t="s">
        <v>103</v>
      </c>
      <c r="B104">
        <v>103</v>
      </c>
      <c r="C104" s="1">
        <v>-22.516575908307701</v>
      </c>
      <c r="D104" s="1">
        <v>-43.183795809745803</v>
      </c>
      <c r="E104" s="2">
        <f>Tabela1[[#This Row],[Latitude (graus)]]* PI()/180</f>
        <v>-0.39298838587520218</v>
      </c>
      <c r="F104" s="2">
        <f>Tabela1[[#This Row],[Longetude (graus)]]* PI()/180</f>
        <v>-0.75369942038899496</v>
      </c>
    </row>
    <row r="105" spans="1:6" x14ac:dyDescent="0.25">
      <c r="A105" s="40" t="s">
        <v>104</v>
      </c>
      <c r="B105">
        <v>104</v>
      </c>
      <c r="C105" s="1">
        <v>-22.509120184706202</v>
      </c>
      <c r="D105" s="1">
        <v>-43.182213306427002</v>
      </c>
      <c r="E105" s="2">
        <f>Tabela1[[#This Row],[Latitude (graus)]]* PI()/180</f>
        <v>-0.3928582589502374</v>
      </c>
      <c r="F105" s="2">
        <f>Tabela1[[#This Row],[Longetude (graus)]]* PI()/180</f>
        <v>-0.75367180049565818</v>
      </c>
    </row>
    <row r="106" spans="1:6" x14ac:dyDescent="0.25">
      <c r="A106" s="40" t="s">
        <v>105</v>
      </c>
      <c r="B106">
        <v>105</v>
      </c>
      <c r="C106" s="1">
        <v>-22.509491865395599</v>
      </c>
      <c r="D106" s="1">
        <v>-43.195385634899097</v>
      </c>
      <c r="E106" s="2">
        <f>Tabela1[[#This Row],[Latitude (graus)]]* PI()/180</f>
        <v>-0.39286474600203347</v>
      </c>
      <c r="F106" s="2">
        <f>Tabela1[[#This Row],[Longetude (graus)]]* PI()/180</f>
        <v>-0.75390170099765041</v>
      </c>
    </row>
    <row r="107" spans="1:6" x14ac:dyDescent="0.25">
      <c r="A107" s="40" t="s">
        <v>106</v>
      </c>
      <c r="B107">
        <v>106</v>
      </c>
      <c r="C107" s="1">
        <v>-22.507514512646001</v>
      </c>
      <c r="D107" s="1">
        <v>-43.191566169261897</v>
      </c>
      <c r="E107" s="2">
        <f>Tabela1[[#This Row],[Latitude (graus)]]* PI()/180</f>
        <v>-0.39283023468607958</v>
      </c>
      <c r="F107" s="2">
        <f>Tabela1[[#This Row],[Longetude (graus)]]* PI()/180</f>
        <v>-0.75383503874661451</v>
      </c>
    </row>
    <row r="108" spans="1:6" x14ac:dyDescent="0.25">
      <c r="A108" s="40" t="s">
        <v>107</v>
      </c>
      <c r="B108">
        <v>107</v>
      </c>
      <c r="C108" s="1">
        <v>-22.528721260706199</v>
      </c>
      <c r="D108" s="1">
        <v>-43.196168839931502</v>
      </c>
      <c r="E108" s="2">
        <f>Tabela1[[#This Row],[Latitude (graus)]]* PI()/180</f>
        <v>-0.39320036226337096</v>
      </c>
      <c r="F108" s="2">
        <f>Tabela1[[#This Row],[Longetude (graus)]]* PI()/180</f>
        <v>-0.75391537050418411</v>
      </c>
    </row>
  </sheetData>
  <conditionalFormatting sqref="A2:A108">
    <cfRule type="duplicateValues" dxfId="69" priority="4"/>
  </conditionalFormatting>
  <conditionalFormatting sqref="A1:B108">
    <cfRule type="containsText" dxfId="68" priority="2" operator="containsText" text="Caminho sem título">
      <formula>NOT(ISERROR(SEARCH("Caminho sem título",A1)))</formula>
    </cfRule>
    <cfRule type="containsText" dxfId="67" priority="3" operator="containsText" text="&gt;">
      <formula>NOT(ISERROR(SEARCH("&gt;",A1)))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79BF-1E54-4F48-A2F5-3791A4513ADE}">
  <dimension ref="A2:J218"/>
  <sheetViews>
    <sheetView topLeftCell="A39" workbookViewId="0">
      <selection activeCell="B27" sqref="B27"/>
    </sheetView>
  </sheetViews>
  <sheetFormatPr defaultRowHeight="14.25" x14ac:dyDescent="0.25"/>
  <cols>
    <col min="1" max="1" width="32.28515625" style="3" bestFit="1" customWidth="1"/>
    <col min="2" max="2" width="34.5703125" style="3" bestFit="1" customWidth="1"/>
    <col min="3" max="3" width="18.7109375" style="3" bestFit="1" customWidth="1"/>
    <col min="4" max="4" width="14.5703125" style="3" bestFit="1" customWidth="1"/>
    <col min="5" max="5" width="20.85546875" style="3" bestFit="1" customWidth="1"/>
    <col min="6" max="6" width="27.5703125" style="3" bestFit="1" customWidth="1"/>
    <col min="7" max="7" width="20.140625" style="3" bestFit="1" customWidth="1"/>
    <col min="8" max="8" width="12.7109375" style="3" bestFit="1" customWidth="1"/>
    <col min="9" max="9" width="12.85546875" style="3" bestFit="1" customWidth="1"/>
    <col min="10" max="10" width="19.7109375" style="3" bestFit="1" customWidth="1"/>
    <col min="11" max="16384" width="9.140625" style="3"/>
  </cols>
  <sheetData>
    <row r="2" spans="1:10" x14ac:dyDescent="0.25">
      <c r="A2" s="3" t="s">
        <v>108</v>
      </c>
      <c r="B2" s="3" t="s">
        <v>109</v>
      </c>
      <c r="C2" s="3" t="s">
        <v>117</v>
      </c>
      <c r="D2" s="4" t="s">
        <v>124</v>
      </c>
      <c r="E2" s="4" t="s">
        <v>125</v>
      </c>
      <c r="F2" s="3" t="s">
        <v>138</v>
      </c>
      <c r="G2" s="3" t="s">
        <v>139</v>
      </c>
      <c r="H2" s="3" t="s">
        <v>140</v>
      </c>
      <c r="I2" s="3" t="s">
        <v>141</v>
      </c>
      <c r="J2" s="3" t="s">
        <v>142</v>
      </c>
    </row>
    <row r="3" spans="1:10" ht="15" x14ac:dyDescent="0.25">
      <c r="A3" s="5" t="s">
        <v>1</v>
      </c>
      <c r="B3" s="6" t="s">
        <v>97</v>
      </c>
      <c r="C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598.35979767632921</v>
      </c>
      <c r="D3" s="7" t="s">
        <v>136</v>
      </c>
      <c r="E3" s="3" t="s">
        <v>137</v>
      </c>
      <c r="F3" s="13" t="s">
        <v>136</v>
      </c>
      <c r="G3" s="3" t="s">
        <v>146</v>
      </c>
      <c r="H3" s="3" t="s">
        <v>151</v>
      </c>
      <c r="I3" s="3" t="s">
        <v>154</v>
      </c>
      <c r="J3" s="13" t="s">
        <v>135</v>
      </c>
    </row>
    <row r="4" spans="1:10" ht="15" x14ac:dyDescent="0.25">
      <c r="A4" s="8" t="s">
        <v>1</v>
      </c>
      <c r="B4" s="9" t="s">
        <v>80</v>
      </c>
      <c r="C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19705.306815152846</v>
      </c>
      <c r="D4" s="7" t="s">
        <v>136</v>
      </c>
      <c r="E4" s="3" t="s">
        <v>131</v>
      </c>
      <c r="F4" s="13" t="s">
        <v>136</v>
      </c>
      <c r="G4" s="3" t="s">
        <v>146</v>
      </c>
      <c r="H4" s="3" t="s">
        <v>150</v>
      </c>
      <c r="I4" s="3" t="s">
        <v>154</v>
      </c>
      <c r="J4" s="13" t="s">
        <v>135</v>
      </c>
    </row>
    <row r="5" spans="1:10" ht="15" x14ac:dyDescent="0.25">
      <c r="A5" s="5" t="s">
        <v>2</v>
      </c>
      <c r="B5" s="6" t="s">
        <v>101</v>
      </c>
      <c r="C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1640.4942317044531</v>
      </c>
      <c r="D5" s="7" t="s">
        <v>136</v>
      </c>
      <c r="E5" s="3" t="s">
        <v>131</v>
      </c>
      <c r="F5" s="13" t="s">
        <v>136</v>
      </c>
      <c r="G5" s="3" t="s">
        <v>146</v>
      </c>
      <c r="H5" s="3" t="s">
        <v>152</v>
      </c>
      <c r="I5" s="3" t="s">
        <v>154</v>
      </c>
      <c r="J5" s="13" t="s">
        <v>135</v>
      </c>
    </row>
    <row r="6" spans="1:10" ht="15" x14ac:dyDescent="0.25">
      <c r="A6" s="8" t="s">
        <v>2</v>
      </c>
      <c r="B6" s="9" t="s">
        <v>48</v>
      </c>
      <c r="C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1110.7613458239955</v>
      </c>
      <c r="D6" s="7" t="s">
        <v>136</v>
      </c>
      <c r="E6" s="3" t="s">
        <v>131</v>
      </c>
      <c r="F6" s="13" t="s">
        <v>136</v>
      </c>
      <c r="G6" s="3" t="s">
        <v>146</v>
      </c>
      <c r="H6" s="3" t="s">
        <v>152</v>
      </c>
      <c r="I6" s="3" t="s">
        <v>154</v>
      </c>
      <c r="J6" s="13" t="s">
        <v>135</v>
      </c>
    </row>
    <row r="7" spans="1:10" ht="15" x14ac:dyDescent="0.25">
      <c r="A7" s="5" t="s">
        <v>16</v>
      </c>
      <c r="B7" s="6" t="s">
        <v>77</v>
      </c>
      <c r="C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12083.42554104806</v>
      </c>
      <c r="D7" s="7" t="s">
        <v>135</v>
      </c>
      <c r="E7" s="3" t="s">
        <v>128</v>
      </c>
      <c r="F7" s="13" t="s">
        <v>136</v>
      </c>
      <c r="G7" s="3" t="s">
        <v>144</v>
      </c>
      <c r="H7" s="3" t="s">
        <v>151</v>
      </c>
      <c r="I7" s="3" t="s">
        <v>153</v>
      </c>
      <c r="J7" s="13" t="s">
        <v>135</v>
      </c>
    </row>
    <row r="8" spans="1:10" ht="15" x14ac:dyDescent="0.25">
      <c r="A8" s="8" t="s">
        <v>16</v>
      </c>
      <c r="B8" s="9" t="s">
        <v>22</v>
      </c>
      <c r="C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6971.4893105734773</v>
      </c>
      <c r="D8" s="7" t="s">
        <v>136</v>
      </c>
      <c r="E8" s="3" t="s">
        <v>137</v>
      </c>
      <c r="F8" s="13" t="s">
        <v>136</v>
      </c>
      <c r="G8" s="3" t="s">
        <v>146</v>
      </c>
      <c r="H8" s="3" t="s">
        <v>152</v>
      </c>
      <c r="I8" s="3" t="s">
        <v>154</v>
      </c>
      <c r="J8" s="13" t="s">
        <v>135</v>
      </c>
    </row>
    <row r="9" spans="1:10" ht="15" x14ac:dyDescent="0.25">
      <c r="A9" s="5" t="s">
        <v>3</v>
      </c>
      <c r="B9" s="6" t="s">
        <v>77</v>
      </c>
      <c r="C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12508.920507270643</v>
      </c>
      <c r="D9" s="7" t="s">
        <v>135</v>
      </c>
      <c r="E9" s="3" t="s">
        <v>128</v>
      </c>
      <c r="F9" s="13" t="s">
        <v>136</v>
      </c>
      <c r="G9" s="3" t="s">
        <v>146</v>
      </c>
      <c r="H9" s="3" t="s">
        <v>152</v>
      </c>
      <c r="I9" s="3" t="s">
        <v>154</v>
      </c>
      <c r="J9" s="13" t="s">
        <v>135</v>
      </c>
    </row>
    <row r="10" spans="1:10" ht="15" x14ac:dyDescent="0.25">
      <c r="A10" s="8" t="s">
        <v>3</v>
      </c>
      <c r="B10" s="9" t="s">
        <v>79</v>
      </c>
      <c r="C1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53538.013839164028</v>
      </c>
      <c r="D10" s="7" t="s">
        <v>135</v>
      </c>
      <c r="E10" s="3" t="s">
        <v>128</v>
      </c>
      <c r="F10" s="13" t="s">
        <v>136</v>
      </c>
      <c r="G10" s="3" t="s">
        <v>144</v>
      </c>
      <c r="H10" s="3" t="s">
        <v>151</v>
      </c>
      <c r="I10" s="3" t="s">
        <v>153</v>
      </c>
      <c r="J10" s="13" t="s">
        <v>135</v>
      </c>
    </row>
    <row r="11" spans="1:10" ht="15" x14ac:dyDescent="0.25">
      <c r="A11" s="5" t="s">
        <v>4</v>
      </c>
      <c r="B11" s="6" t="s">
        <v>84</v>
      </c>
      <c r="C1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1331.3165428346877</v>
      </c>
      <c r="D11" s="7" t="s">
        <v>136</v>
      </c>
      <c r="E11" s="3" t="s">
        <v>137</v>
      </c>
      <c r="F11" s="13" t="s">
        <v>136</v>
      </c>
      <c r="G11" s="3" t="s">
        <v>146</v>
      </c>
      <c r="H11" s="3" t="s">
        <v>150</v>
      </c>
      <c r="I11" s="3" t="s">
        <v>157</v>
      </c>
      <c r="J11" s="13" t="s">
        <v>135</v>
      </c>
    </row>
    <row r="12" spans="1:10" ht="15" x14ac:dyDescent="0.25">
      <c r="A12" s="8" t="s">
        <v>4</v>
      </c>
      <c r="B12" s="9" t="s">
        <v>74</v>
      </c>
      <c r="C1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16730.877444192101</v>
      </c>
      <c r="D12" s="7" t="s">
        <v>136</v>
      </c>
      <c r="E12" s="3" t="s">
        <v>137</v>
      </c>
      <c r="F12" s="13" t="s">
        <v>136</v>
      </c>
      <c r="G12" s="3" t="s">
        <v>146</v>
      </c>
      <c r="H12" s="3" t="s">
        <v>152</v>
      </c>
      <c r="I12" s="3" t="s">
        <v>154</v>
      </c>
      <c r="J12" s="13" t="s">
        <v>135</v>
      </c>
    </row>
    <row r="13" spans="1:10" ht="15" x14ac:dyDescent="0.25">
      <c r="A13" s="5" t="s">
        <v>5</v>
      </c>
      <c r="B13" s="6" t="s">
        <v>12</v>
      </c>
      <c r="C1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10458.088588564429</v>
      </c>
      <c r="D13" s="7" t="s">
        <v>136</v>
      </c>
      <c r="E13" s="3" t="s">
        <v>137</v>
      </c>
      <c r="F13" s="13" t="s">
        <v>136</v>
      </c>
      <c r="G13" s="3" t="s">
        <v>146</v>
      </c>
      <c r="H13" s="3" t="s">
        <v>150</v>
      </c>
      <c r="I13" s="3" t="s">
        <v>153</v>
      </c>
      <c r="J13" s="13" t="s">
        <v>135</v>
      </c>
    </row>
    <row r="14" spans="1:10" ht="15" x14ac:dyDescent="0.25">
      <c r="A14" s="8" t="s">
        <v>6</v>
      </c>
      <c r="B14" s="9" t="s">
        <v>88</v>
      </c>
      <c r="C1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1290.2360720071008</v>
      </c>
      <c r="D14" s="7" t="s">
        <v>135</v>
      </c>
      <c r="E14" s="3" t="s">
        <v>128</v>
      </c>
      <c r="F14" s="13" t="s">
        <v>136</v>
      </c>
      <c r="G14" s="3" t="s">
        <v>144</v>
      </c>
      <c r="H14" s="3" t="s">
        <v>150</v>
      </c>
      <c r="I14" s="3" t="s">
        <v>153</v>
      </c>
      <c r="J14" s="13" t="s">
        <v>135</v>
      </c>
    </row>
    <row r="15" spans="1:10" ht="15" x14ac:dyDescent="0.25">
      <c r="A15" s="5" t="s">
        <v>6</v>
      </c>
      <c r="B15" s="6" t="s">
        <v>35</v>
      </c>
      <c r="C1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17379.043467481028</v>
      </c>
      <c r="D15" s="7" t="s">
        <v>135</v>
      </c>
      <c r="E15" s="3" t="s">
        <v>133</v>
      </c>
      <c r="F15" s="13" t="s">
        <v>136</v>
      </c>
      <c r="G15" s="3" t="s">
        <v>144</v>
      </c>
      <c r="H15" s="3" t="s">
        <v>150</v>
      </c>
      <c r="I15" s="3" t="s">
        <v>153</v>
      </c>
      <c r="J15" s="13" t="s">
        <v>135</v>
      </c>
    </row>
    <row r="16" spans="1:10" ht="15" x14ac:dyDescent="0.25">
      <c r="A16" s="8" t="s">
        <v>6</v>
      </c>
      <c r="B16" s="9" t="s">
        <v>31</v>
      </c>
      <c r="C1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18063.233309056312</v>
      </c>
      <c r="D16" s="7" t="s">
        <v>135</v>
      </c>
      <c r="E16" s="3" t="s">
        <v>128</v>
      </c>
      <c r="F16" s="13" t="s">
        <v>136</v>
      </c>
      <c r="G16" s="3" t="s">
        <v>144</v>
      </c>
      <c r="H16" s="3" t="s">
        <v>149</v>
      </c>
      <c r="I16" s="3" t="s">
        <v>153</v>
      </c>
      <c r="J16" s="13" t="s">
        <v>135</v>
      </c>
    </row>
    <row r="17" spans="1:10" ht="15" x14ac:dyDescent="0.25">
      <c r="A17" s="5" t="s">
        <v>7</v>
      </c>
      <c r="B17" s="6" t="s">
        <v>3</v>
      </c>
      <c r="C1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5247.4435469486871</v>
      </c>
      <c r="D17" s="7" t="s">
        <v>135</v>
      </c>
      <c r="E17" s="3" t="s">
        <v>128</v>
      </c>
      <c r="F17" s="13" t="s">
        <v>136</v>
      </c>
      <c r="G17" s="3" t="s">
        <v>146</v>
      </c>
      <c r="H17" s="3" t="s">
        <v>152</v>
      </c>
      <c r="I17" s="3" t="s">
        <v>153</v>
      </c>
      <c r="J17" s="13" t="s">
        <v>135</v>
      </c>
    </row>
    <row r="18" spans="1:10" ht="15" x14ac:dyDescent="0.25">
      <c r="A18" s="8" t="s">
        <v>8</v>
      </c>
      <c r="B18" s="9" t="s">
        <v>9</v>
      </c>
      <c r="C1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74916.928290066062</v>
      </c>
      <c r="D18" s="7" t="s">
        <v>135</v>
      </c>
      <c r="E18" s="3" t="s">
        <v>128</v>
      </c>
      <c r="F18" s="13" t="s">
        <v>136</v>
      </c>
      <c r="G18" s="3" t="s">
        <v>144</v>
      </c>
      <c r="H18" s="3" t="s">
        <v>151</v>
      </c>
      <c r="I18" s="3" t="s">
        <v>153</v>
      </c>
      <c r="J18" s="13" t="s">
        <v>135</v>
      </c>
    </row>
    <row r="19" spans="1:10" ht="15" x14ac:dyDescent="0.25">
      <c r="A19" s="5" t="s">
        <v>8</v>
      </c>
      <c r="B19" s="6" t="s">
        <v>57</v>
      </c>
      <c r="C1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100206.26605234537</v>
      </c>
      <c r="D19" s="7" t="s">
        <v>136</v>
      </c>
      <c r="E19" s="3" t="s">
        <v>137</v>
      </c>
      <c r="F19" s="13" t="s">
        <v>136</v>
      </c>
      <c r="G19" s="3" t="s">
        <v>146</v>
      </c>
      <c r="H19" s="3" t="s">
        <v>151</v>
      </c>
      <c r="I19" s="3" t="s">
        <v>153</v>
      </c>
      <c r="J19" s="13" t="s">
        <v>135</v>
      </c>
    </row>
    <row r="20" spans="1:10" ht="15" x14ac:dyDescent="0.25">
      <c r="A20" s="8" t="s">
        <v>9</v>
      </c>
      <c r="B20" s="9" t="s">
        <v>8</v>
      </c>
      <c r="C2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74916.928290066062</v>
      </c>
      <c r="D20" s="7" t="s">
        <v>135</v>
      </c>
      <c r="E20" s="3" t="s">
        <v>128</v>
      </c>
      <c r="F20" s="13" t="s">
        <v>136</v>
      </c>
      <c r="G20" s="3" t="s">
        <v>144</v>
      </c>
      <c r="H20" s="3" t="s">
        <v>151</v>
      </c>
      <c r="I20" s="3" t="s">
        <v>153</v>
      </c>
      <c r="J20" s="13" t="s">
        <v>135</v>
      </c>
    </row>
    <row r="21" spans="1:10" ht="15" x14ac:dyDescent="0.25">
      <c r="A21" s="5" t="s">
        <v>10</v>
      </c>
      <c r="B21" s="6" t="s">
        <v>59</v>
      </c>
      <c r="C2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39935.660237081509</v>
      </c>
      <c r="D21" s="7" t="s">
        <v>135</v>
      </c>
      <c r="E21" s="3" t="s">
        <v>128</v>
      </c>
      <c r="F21" s="13" t="s">
        <v>136</v>
      </c>
      <c r="G21" s="3" t="s">
        <v>144</v>
      </c>
      <c r="H21" s="3" t="s">
        <v>150</v>
      </c>
      <c r="I21" s="3" t="s">
        <v>153</v>
      </c>
      <c r="J21" s="13" t="s">
        <v>135</v>
      </c>
    </row>
    <row r="22" spans="1:10" ht="15" x14ac:dyDescent="0.25">
      <c r="A22" s="8" t="s">
        <v>10</v>
      </c>
      <c r="B22" s="9" t="s">
        <v>47</v>
      </c>
      <c r="C2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17619.429947195829</v>
      </c>
      <c r="D22" s="7" t="s">
        <v>135</v>
      </c>
      <c r="E22" s="3" t="s">
        <v>128</v>
      </c>
      <c r="F22" s="13" t="s">
        <v>135</v>
      </c>
      <c r="G22" s="3" t="s">
        <v>144</v>
      </c>
      <c r="H22" s="3" t="s">
        <v>149</v>
      </c>
      <c r="I22" s="3" t="s">
        <v>157</v>
      </c>
      <c r="J22" s="13" t="s">
        <v>135</v>
      </c>
    </row>
    <row r="23" spans="1:10" ht="15" x14ac:dyDescent="0.25">
      <c r="A23" s="5" t="s">
        <v>10</v>
      </c>
      <c r="B23" s="6" t="s">
        <v>68</v>
      </c>
      <c r="C2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66631.7364186911</v>
      </c>
      <c r="D23" s="7" t="s">
        <v>136</v>
      </c>
      <c r="E23" s="3" t="s">
        <v>133</v>
      </c>
      <c r="F23" s="13" t="s">
        <v>136</v>
      </c>
      <c r="G23" s="3" t="s">
        <v>144</v>
      </c>
      <c r="H23" s="3" t="s">
        <v>150</v>
      </c>
      <c r="I23" s="3" t="s">
        <v>153</v>
      </c>
      <c r="J23" s="13" t="s">
        <v>135</v>
      </c>
    </row>
    <row r="24" spans="1:10" ht="15" x14ac:dyDescent="0.25">
      <c r="A24" s="8" t="s">
        <v>11</v>
      </c>
      <c r="B24" s="9" t="s">
        <v>12</v>
      </c>
      <c r="C2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159747.79509577109</v>
      </c>
      <c r="D24" s="7" t="s">
        <v>136</v>
      </c>
      <c r="E24" s="3" t="s">
        <v>137</v>
      </c>
      <c r="F24" s="13" t="s">
        <v>135</v>
      </c>
      <c r="G24" s="3" t="s">
        <v>144</v>
      </c>
      <c r="H24" s="3" t="s">
        <v>148</v>
      </c>
      <c r="I24" s="3" t="s">
        <v>157</v>
      </c>
      <c r="J24" s="13" t="s">
        <v>136</v>
      </c>
    </row>
    <row r="25" spans="1:10" ht="15" x14ac:dyDescent="0.25">
      <c r="A25" s="5" t="s">
        <v>12</v>
      </c>
      <c r="B25" s="6" t="s">
        <v>11</v>
      </c>
      <c r="C2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159747.79509577109</v>
      </c>
      <c r="D25" s="7" t="s">
        <v>136</v>
      </c>
      <c r="E25" s="3" t="s">
        <v>137</v>
      </c>
      <c r="F25" s="13" t="s">
        <v>135</v>
      </c>
      <c r="G25" s="3" t="s">
        <v>144</v>
      </c>
      <c r="H25" s="3" t="s">
        <v>148</v>
      </c>
      <c r="I25" s="3" t="s">
        <v>157</v>
      </c>
      <c r="J25" s="13" t="s">
        <v>136</v>
      </c>
    </row>
    <row r="26" spans="1:10" ht="15" x14ac:dyDescent="0.25">
      <c r="A26" s="8" t="s">
        <v>12</v>
      </c>
      <c r="B26" s="9" t="s">
        <v>30</v>
      </c>
      <c r="C2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4425.7981520012263</v>
      </c>
      <c r="D26" s="7" t="s">
        <v>136</v>
      </c>
      <c r="E26" s="3" t="s">
        <v>137</v>
      </c>
      <c r="F26" s="13" t="s">
        <v>136</v>
      </c>
      <c r="G26" s="3" t="s">
        <v>146</v>
      </c>
      <c r="H26" s="3" t="s">
        <v>150</v>
      </c>
      <c r="I26" s="3" t="s">
        <v>153</v>
      </c>
      <c r="J26" s="13" t="s">
        <v>135</v>
      </c>
    </row>
    <row r="27" spans="1:10" ht="15" x14ac:dyDescent="0.25">
      <c r="A27" s="5" t="s">
        <v>13</v>
      </c>
      <c r="B27" s="6" t="s">
        <v>42</v>
      </c>
      <c r="C2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13449.316566020203</v>
      </c>
      <c r="D27" s="7" t="s">
        <v>135</v>
      </c>
      <c r="E27" s="3" t="s">
        <v>128</v>
      </c>
      <c r="F27" s="13" t="s">
        <v>135</v>
      </c>
      <c r="G27" s="3" t="s">
        <v>144</v>
      </c>
      <c r="H27" s="3" t="s">
        <v>148</v>
      </c>
      <c r="I27" s="3" t="s">
        <v>157</v>
      </c>
      <c r="J27" s="13" t="s">
        <v>135</v>
      </c>
    </row>
    <row r="28" spans="1:10" ht="15" x14ac:dyDescent="0.25">
      <c r="A28" s="8" t="s">
        <v>13</v>
      </c>
      <c r="B28" s="9" t="s">
        <v>72</v>
      </c>
      <c r="C2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12475.028900459785</v>
      </c>
      <c r="D28" s="7" t="s">
        <v>135</v>
      </c>
      <c r="E28" s="3" t="s">
        <v>128</v>
      </c>
      <c r="F28" s="13" t="s">
        <v>135</v>
      </c>
      <c r="G28" s="3" t="s">
        <v>144</v>
      </c>
      <c r="H28" s="3" t="s">
        <v>150</v>
      </c>
      <c r="I28" s="3" t="s">
        <v>153</v>
      </c>
      <c r="J28" s="13" t="s">
        <v>135</v>
      </c>
    </row>
    <row r="29" spans="1:10" ht="15" x14ac:dyDescent="0.25">
      <c r="A29" s="5" t="s">
        <v>13</v>
      </c>
      <c r="B29" s="6" t="s">
        <v>82</v>
      </c>
      <c r="C2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11653.282779424673</v>
      </c>
      <c r="D29" s="7" t="s">
        <v>135</v>
      </c>
      <c r="E29" s="3" t="s">
        <v>128</v>
      </c>
      <c r="F29" s="13" t="s">
        <v>135</v>
      </c>
      <c r="G29" s="3" t="s">
        <v>144</v>
      </c>
      <c r="H29" s="3" t="s">
        <v>150</v>
      </c>
      <c r="I29" s="3" t="s">
        <v>153</v>
      </c>
      <c r="J29" s="13" t="s">
        <v>135</v>
      </c>
    </row>
    <row r="30" spans="1:10" ht="15" x14ac:dyDescent="0.25">
      <c r="A30" s="8" t="s">
        <v>14</v>
      </c>
      <c r="B30" s="9" t="s">
        <v>100</v>
      </c>
      <c r="C3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1606.4870188389045</v>
      </c>
      <c r="D30" s="7" t="s">
        <v>136</v>
      </c>
      <c r="E30" s="3" t="s">
        <v>137</v>
      </c>
      <c r="F30" s="13" t="s">
        <v>136</v>
      </c>
      <c r="G30" s="3" t="s">
        <v>146</v>
      </c>
      <c r="H30" s="3" t="s">
        <v>151</v>
      </c>
      <c r="I30" s="3" t="s">
        <v>154</v>
      </c>
      <c r="J30" s="13" t="s">
        <v>135</v>
      </c>
    </row>
    <row r="31" spans="1:10" ht="15" x14ac:dyDescent="0.25">
      <c r="A31" s="5" t="s">
        <v>15</v>
      </c>
      <c r="B31" s="6" t="s">
        <v>32</v>
      </c>
      <c r="C3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8882.1085381188059</v>
      </c>
      <c r="D31" s="7" t="s">
        <v>135</v>
      </c>
      <c r="E31" s="3" t="s">
        <v>128</v>
      </c>
      <c r="F31" s="13" t="s">
        <v>135</v>
      </c>
      <c r="G31" s="3" t="s">
        <v>144</v>
      </c>
      <c r="H31" s="3" t="s">
        <v>149</v>
      </c>
      <c r="I31" s="3" t="s">
        <v>157</v>
      </c>
      <c r="J31" s="13" t="s">
        <v>135</v>
      </c>
    </row>
    <row r="32" spans="1:10" ht="15" x14ac:dyDescent="0.25">
      <c r="A32" s="8" t="s">
        <v>15</v>
      </c>
      <c r="B32" s="9" t="s">
        <v>20</v>
      </c>
      <c r="C3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27935.649577230353</v>
      </c>
      <c r="D32" s="7" t="s">
        <v>135</v>
      </c>
      <c r="E32" s="3" t="s">
        <v>128</v>
      </c>
      <c r="F32" s="13" t="s">
        <v>136</v>
      </c>
      <c r="G32" s="3" t="s">
        <v>144</v>
      </c>
      <c r="H32" s="3" t="s">
        <v>150</v>
      </c>
      <c r="I32" s="3" t="s">
        <v>154</v>
      </c>
      <c r="J32" s="13" t="s">
        <v>135</v>
      </c>
    </row>
    <row r="33" spans="1:10" ht="15" x14ac:dyDescent="0.25">
      <c r="A33" s="5" t="s">
        <v>15</v>
      </c>
      <c r="B33" s="6" t="s">
        <v>43</v>
      </c>
      <c r="C3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17964.888917578344</v>
      </c>
      <c r="D33" s="7" t="s">
        <v>135</v>
      </c>
      <c r="E33" s="3" t="s">
        <v>133</v>
      </c>
      <c r="F33" s="13" t="s">
        <v>136</v>
      </c>
      <c r="G33" s="3" t="s">
        <v>144</v>
      </c>
      <c r="H33" s="3" t="s">
        <v>150</v>
      </c>
      <c r="I33" s="3" t="s">
        <v>154</v>
      </c>
      <c r="J33" s="13" t="s">
        <v>135</v>
      </c>
    </row>
    <row r="34" spans="1:10" ht="15" x14ac:dyDescent="0.25">
      <c r="A34" s="8" t="s">
        <v>17</v>
      </c>
      <c r="B34" s="9" t="s">
        <v>105</v>
      </c>
      <c r="C3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33411.860236893197</v>
      </c>
      <c r="D34" s="7" t="s">
        <v>135</v>
      </c>
      <c r="E34" s="3" t="s">
        <v>128</v>
      </c>
      <c r="F34" s="13" t="s">
        <v>135</v>
      </c>
      <c r="G34" s="3" t="s">
        <v>144</v>
      </c>
      <c r="H34" s="3" t="s">
        <v>149</v>
      </c>
      <c r="I34" s="3" t="s">
        <v>157</v>
      </c>
      <c r="J34" s="13" t="s">
        <v>135</v>
      </c>
    </row>
    <row r="35" spans="1:10" ht="15" x14ac:dyDescent="0.25">
      <c r="A35" s="5" t="s">
        <v>17</v>
      </c>
      <c r="B35" s="6" t="s">
        <v>88</v>
      </c>
      <c r="C3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58356.821250673871</v>
      </c>
      <c r="D35" s="7" t="s">
        <v>135</v>
      </c>
      <c r="E35" s="3" t="s">
        <v>128</v>
      </c>
      <c r="F35" s="13" t="s">
        <v>135</v>
      </c>
      <c r="G35" s="3" t="s">
        <v>144</v>
      </c>
      <c r="H35" s="3" t="s">
        <v>149</v>
      </c>
      <c r="I35" s="3" t="s">
        <v>157</v>
      </c>
      <c r="J35" s="13" t="s">
        <v>135</v>
      </c>
    </row>
    <row r="36" spans="1:10" ht="15" x14ac:dyDescent="0.25">
      <c r="A36" s="8" t="s">
        <v>18</v>
      </c>
      <c r="B36" s="9" t="s">
        <v>1</v>
      </c>
      <c r="C3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21122.977805951265</v>
      </c>
      <c r="D36" s="7" t="s">
        <v>136</v>
      </c>
      <c r="E36" s="3" t="s">
        <v>131</v>
      </c>
      <c r="F36" s="13" t="s">
        <v>136</v>
      </c>
      <c r="G36" s="3" t="s">
        <v>146</v>
      </c>
      <c r="H36" s="3" t="s">
        <v>150</v>
      </c>
      <c r="I36" s="3" t="s">
        <v>153</v>
      </c>
      <c r="J36" s="13" t="s">
        <v>135</v>
      </c>
    </row>
    <row r="37" spans="1:10" ht="15" x14ac:dyDescent="0.25">
      <c r="A37" s="5" t="s">
        <v>18</v>
      </c>
      <c r="B37" s="6" t="s">
        <v>33</v>
      </c>
      <c r="C3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11257.296327691012</v>
      </c>
      <c r="D37" s="7" t="s">
        <v>136</v>
      </c>
      <c r="E37" s="3" t="s">
        <v>133</v>
      </c>
      <c r="F37" s="13" t="s">
        <v>136</v>
      </c>
      <c r="G37" s="3" t="s">
        <v>144</v>
      </c>
      <c r="H37" s="3" t="s">
        <v>150</v>
      </c>
      <c r="I37" s="3" t="s">
        <v>153</v>
      </c>
      <c r="J37" s="13" t="s">
        <v>135</v>
      </c>
    </row>
    <row r="38" spans="1:10" ht="15" x14ac:dyDescent="0.25">
      <c r="A38" s="8" t="s">
        <v>19</v>
      </c>
      <c r="B38" s="9" t="s">
        <v>29</v>
      </c>
      <c r="C3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5196.0425179001186</v>
      </c>
      <c r="D38" s="7" t="s">
        <v>135</v>
      </c>
      <c r="E38" s="3" t="s">
        <v>128</v>
      </c>
      <c r="F38" s="13" t="s">
        <v>135</v>
      </c>
      <c r="G38" s="3" t="s">
        <v>144</v>
      </c>
      <c r="H38" s="3" t="s">
        <v>148</v>
      </c>
      <c r="I38" s="3" t="s">
        <v>157</v>
      </c>
      <c r="J38" s="13" t="s">
        <v>135</v>
      </c>
    </row>
    <row r="39" spans="1:10" ht="15" x14ac:dyDescent="0.25">
      <c r="A39" s="5" t="s">
        <v>19</v>
      </c>
      <c r="B39" s="6" t="s">
        <v>79</v>
      </c>
      <c r="C3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27018.543774455255</v>
      </c>
      <c r="D39" s="7" t="s">
        <v>135</v>
      </c>
      <c r="E39" s="3" t="s">
        <v>128</v>
      </c>
      <c r="F39" s="13" t="s">
        <v>135</v>
      </c>
      <c r="G39" s="3" t="s">
        <v>144</v>
      </c>
      <c r="H39" s="3" t="s">
        <v>149</v>
      </c>
      <c r="I39" s="3" t="s">
        <v>153</v>
      </c>
      <c r="J39" s="13" t="s">
        <v>135</v>
      </c>
    </row>
    <row r="40" spans="1:10" ht="15" x14ac:dyDescent="0.25">
      <c r="A40" s="8" t="s">
        <v>20</v>
      </c>
      <c r="B40" s="9" t="s">
        <v>15</v>
      </c>
      <c r="C4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27935.649577230353</v>
      </c>
      <c r="D40" s="7" t="s">
        <v>135</v>
      </c>
      <c r="E40" s="3" t="s">
        <v>128</v>
      </c>
      <c r="F40" s="13" t="s">
        <v>136</v>
      </c>
      <c r="G40" s="3" t="s">
        <v>144</v>
      </c>
      <c r="H40" s="3" t="s">
        <v>150</v>
      </c>
      <c r="I40" s="3" t="s">
        <v>154</v>
      </c>
      <c r="J40" s="13" t="s">
        <v>135</v>
      </c>
    </row>
    <row r="41" spans="1:10" ht="15" x14ac:dyDescent="0.25">
      <c r="A41" s="5" t="s">
        <v>20</v>
      </c>
      <c r="B41" s="6" t="s">
        <v>76</v>
      </c>
      <c r="C4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51993.610717640819</v>
      </c>
      <c r="D41" s="7" t="s">
        <v>135</v>
      </c>
      <c r="E41" s="3" t="s">
        <v>128</v>
      </c>
      <c r="F41" s="13" t="s">
        <v>136</v>
      </c>
      <c r="G41" s="3" t="s">
        <v>145</v>
      </c>
      <c r="H41" s="3" t="s">
        <v>151</v>
      </c>
      <c r="I41" s="3" t="s">
        <v>155</v>
      </c>
      <c r="J41" s="13" t="s">
        <v>135</v>
      </c>
    </row>
    <row r="42" spans="1:10" ht="15" x14ac:dyDescent="0.25">
      <c r="A42" s="8" t="s">
        <v>21</v>
      </c>
      <c r="B42" s="9" t="s">
        <v>92</v>
      </c>
      <c r="C4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1744.1861631310169</v>
      </c>
      <c r="D42" s="7" t="s">
        <v>135</v>
      </c>
      <c r="E42" s="3" t="s">
        <v>131</v>
      </c>
      <c r="F42" s="13" t="s">
        <v>136</v>
      </c>
      <c r="G42" s="3" t="s">
        <v>144</v>
      </c>
      <c r="H42" s="3" t="s">
        <v>152</v>
      </c>
      <c r="I42" s="3" t="s">
        <v>154</v>
      </c>
      <c r="J42" s="13" t="s">
        <v>135</v>
      </c>
    </row>
    <row r="43" spans="1:10" ht="15" x14ac:dyDescent="0.25">
      <c r="A43" s="5" t="s">
        <v>21</v>
      </c>
      <c r="B43" s="6" t="s">
        <v>67</v>
      </c>
      <c r="C4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2238.9626282126947</v>
      </c>
      <c r="D43" s="7" t="s">
        <v>135</v>
      </c>
      <c r="E43" s="3" t="s">
        <v>128</v>
      </c>
      <c r="F43" s="13" t="s">
        <v>135</v>
      </c>
      <c r="G43" s="3" t="s">
        <v>144</v>
      </c>
      <c r="H43" s="3" t="s">
        <v>150</v>
      </c>
      <c r="I43" s="3" t="s">
        <v>157</v>
      </c>
      <c r="J43" s="13" t="s">
        <v>135</v>
      </c>
    </row>
    <row r="44" spans="1:10" ht="15" x14ac:dyDescent="0.25">
      <c r="A44" s="8" t="s">
        <v>21</v>
      </c>
      <c r="B44" s="9" t="s">
        <v>39</v>
      </c>
      <c r="C4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1623.4973176324163</v>
      </c>
      <c r="D44" s="7" t="s">
        <v>135</v>
      </c>
      <c r="E44" s="3" t="s">
        <v>131</v>
      </c>
      <c r="F44" s="13" t="s">
        <v>136</v>
      </c>
      <c r="G44" s="3" t="s">
        <v>144</v>
      </c>
      <c r="H44" s="3" t="s">
        <v>152</v>
      </c>
      <c r="I44" s="3" t="s">
        <v>154</v>
      </c>
      <c r="J44" s="13" t="s">
        <v>135</v>
      </c>
    </row>
    <row r="45" spans="1:10" ht="15" x14ac:dyDescent="0.25">
      <c r="A45" s="5" t="s">
        <v>22</v>
      </c>
      <c r="B45" s="6" t="s">
        <v>54</v>
      </c>
      <c r="C4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649.49367932448502</v>
      </c>
      <c r="D45" s="7" t="s">
        <v>136</v>
      </c>
      <c r="E45" s="3" t="s">
        <v>137</v>
      </c>
      <c r="F45" s="13" t="s">
        <v>136</v>
      </c>
      <c r="G45" s="3" t="s">
        <v>146</v>
      </c>
      <c r="H45" s="3" t="s">
        <v>152</v>
      </c>
      <c r="I45" s="3" t="s">
        <v>154</v>
      </c>
      <c r="J45" s="13" t="s">
        <v>135</v>
      </c>
    </row>
    <row r="46" spans="1:10" ht="15" x14ac:dyDescent="0.25">
      <c r="A46" s="8" t="s">
        <v>22</v>
      </c>
      <c r="B46" s="9" t="s">
        <v>5</v>
      </c>
      <c r="C4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37013.464149590713</v>
      </c>
      <c r="D46" s="7" t="s">
        <v>136</v>
      </c>
      <c r="E46" s="3" t="s">
        <v>137</v>
      </c>
      <c r="F46" s="13" t="s">
        <v>136</v>
      </c>
      <c r="G46" s="3" t="s">
        <v>146</v>
      </c>
      <c r="H46" s="3" t="s">
        <v>149</v>
      </c>
      <c r="I46" s="3" t="s">
        <v>153</v>
      </c>
      <c r="J46" s="13" t="s">
        <v>135</v>
      </c>
    </row>
    <row r="47" spans="1:10" ht="15" x14ac:dyDescent="0.25">
      <c r="A47" s="5" t="s">
        <v>23</v>
      </c>
      <c r="B47" s="6" t="s">
        <v>4</v>
      </c>
      <c r="C4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1281.6983927674519</v>
      </c>
      <c r="D47" s="7" t="s">
        <v>135</v>
      </c>
      <c r="E47" s="3" t="s">
        <v>128</v>
      </c>
      <c r="F47" s="13" t="s">
        <v>136</v>
      </c>
      <c r="G47" s="3" t="s">
        <v>146</v>
      </c>
      <c r="H47" s="3" t="s">
        <v>151</v>
      </c>
      <c r="I47" s="3" t="s">
        <v>154</v>
      </c>
      <c r="J47" s="13" t="s">
        <v>135</v>
      </c>
    </row>
    <row r="48" spans="1:10" ht="15" x14ac:dyDescent="0.25">
      <c r="A48" s="8" t="s">
        <v>23</v>
      </c>
      <c r="B48" s="9" t="s">
        <v>7</v>
      </c>
      <c r="C4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16678.283907065299</v>
      </c>
      <c r="D48" s="7" t="s">
        <v>136</v>
      </c>
      <c r="E48" s="3" t="s">
        <v>137</v>
      </c>
      <c r="F48" s="13" t="s">
        <v>136</v>
      </c>
      <c r="G48" s="3" t="s">
        <v>146</v>
      </c>
      <c r="H48" s="3" t="s">
        <v>150</v>
      </c>
      <c r="I48" s="3" t="s">
        <v>153</v>
      </c>
      <c r="J48" s="13" t="s">
        <v>135</v>
      </c>
    </row>
    <row r="49" spans="1:10" ht="15" x14ac:dyDescent="0.25">
      <c r="A49" s="5" t="s">
        <v>24</v>
      </c>
      <c r="B49" s="6" t="s">
        <v>67</v>
      </c>
      <c r="C4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4243.0830161531794</v>
      </c>
      <c r="D49" s="7" t="s">
        <v>135</v>
      </c>
      <c r="E49" s="3" t="s">
        <v>128</v>
      </c>
      <c r="F49" s="13" t="s">
        <v>135</v>
      </c>
      <c r="G49" s="3" t="s">
        <v>144</v>
      </c>
      <c r="H49" s="3" t="s">
        <v>150</v>
      </c>
      <c r="I49" s="3" t="s">
        <v>157</v>
      </c>
      <c r="J49" s="13" t="s">
        <v>135</v>
      </c>
    </row>
    <row r="50" spans="1:10" ht="15" x14ac:dyDescent="0.25">
      <c r="A50" s="8" t="s">
        <v>24</v>
      </c>
      <c r="B50" s="9" t="s">
        <v>94</v>
      </c>
      <c r="C5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3202.8631443700033</v>
      </c>
      <c r="D50" s="7" t="s">
        <v>135</v>
      </c>
      <c r="E50" s="3" t="s">
        <v>128</v>
      </c>
      <c r="F50" s="13" t="s">
        <v>135</v>
      </c>
      <c r="G50" s="3" t="s">
        <v>144</v>
      </c>
      <c r="H50" s="3" t="s">
        <v>149</v>
      </c>
      <c r="I50" s="3" t="s">
        <v>157</v>
      </c>
      <c r="J50" s="13" t="s">
        <v>135</v>
      </c>
    </row>
    <row r="51" spans="1:10" ht="15" x14ac:dyDescent="0.25">
      <c r="A51" s="5" t="s">
        <v>25</v>
      </c>
      <c r="B51" s="6" t="s">
        <v>14</v>
      </c>
      <c r="C5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820.35306327597164</v>
      </c>
      <c r="D51" s="7" t="s">
        <v>136</v>
      </c>
      <c r="E51" s="3" t="s">
        <v>133</v>
      </c>
      <c r="F51" s="13" t="s">
        <v>136</v>
      </c>
      <c r="G51" s="3" t="s">
        <v>145</v>
      </c>
      <c r="H51" s="3" t="s">
        <v>152</v>
      </c>
      <c r="I51" s="3" t="s">
        <v>154</v>
      </c>
      <c r="J51" s="13" t="s">
        <v>135</v>
      </c>
    </row>
    <row r="52" spans="1:10" ht="15" x14ac:dyDescent="0.25">
      <c r="A52" s="8" t="s">
        <v>25</v>
      </c>
      <c r="B52" s="9" t="s">
        <v>26</v>
      </c>
      <c r="C5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2529.1224183535501</v>
      </c>
      <c r="D52" s="7" t="s">
        <v>136</v>
      </c>
      <c r="E52" s="3" t="s">
        <v>133</v>
      </c>
      <c r="F52" s="13" t="s">
        <v>136</v>
      </c>
      <c r="G52" s="3" t="s">
        <v>146</v>
      </c>
      <c r="H52" s="3" t="s">
        <v>152</v>
      </c>
      <c r="I52" s="3" t="s">
        <v>154</v>
      </c>
      <c r="J52" s="13" t="s">
        <v>135</v>
      </c>
    </row>
    <row r="53" spans="1:10" ht="15" x14ac:dyDescent="0.25">
      <c r="A53" s="5" t="s">
        <v>26</v>
      </c>
      <c r="B53" s="6" t="s">
        <v>52</v>
      </c>
      <c r="C5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495.7137674335217</v>
      </c>
      <c r="D53" s="7" t="s">
        <v>136</v>
      </c>
      <c r="E53" s="3" t="s">
        <v>133</v>
      </c>
      <c r="F53" s="13" t="s">
        <v>136</v>
      </c>
      <c r="G53" s="3" t="s">
        <v>146</v>
      </c>
      <c r="H53" s="3" t="s">
        <v>152</v>
      </c>
      <c r="I53" s="3" t="s">
        <v>154</v>
      </c>
      <c r="J53" s="13" t="s">
        <v>135</v>
      </c>
    </row>
    <row r="54" spans="1:10" ht="15" x14ac:dyDescent="0.25">
      <c r="A54" s="8" t="s">
        <v>26</v>
      </c>
      <c r="B54" s="9" t="s">
        <v>71</v>
      </c>
      <c r="C5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1486.7151789287632</v>
      </c>
      <c r="D54" s="7" t="s">
        <v>136</v>
      </c>
      <c r="E54" s="3" t="s">
        <v>133</v>
      </c>
      <c r="F54" s="13" t="s">
        <v>136</v>
      </c>
      <c r="G54" s="3" t="s">
        <v>146</v>
      </c>
      <c r="H54" s="3" t="s">
        <v>152</v>
      </c>
      <c r="I54" s="3" t="s">
        <v>154</v>
      </c>
      <c r="J54" s="13" t="s">
        <v>135</v>
      </c>
    </row>
    <row r="55" spans="1:10" ht="15" x14ac:dyDescent="0.25">
      <c r="A55" s="5" t="s">
        <v>27</v>
      </c>
      <c r="B55" s="6" t="s">
        <v>75</v>
      </c>
      <c r="C5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1486.744759573188</v>
      </c>
      <c r="D55" s="7" t="s">
        <v>136</v>
      </c>
      <c r="E55" s="3" t="s">
        <v>137</v>
      </c>
      <c r="F55" s="13" t="s">
        <v>136</v>
      </c>
      <c r="G55" s="3" t="s">
        <v>146</v>
      </c>
      <c r="H55" s="3" t="s">
        <v>152</v>
      </c>
      <c r="I55" s="3" t="s">
        <v>154</v>
      </c>
      <c r="J55" s="13" t="s">
        <v>135</v>
      </c>
    </row>
    <row r="56" spans="1:10" ht="15" x14ac:dyDescent="0.25">
      <c r="A56" s="8" t="s">
        <v>27</v>
      </c>
      <c r="B56" s="9" t="s">
        <v>91</v>
      </c>
      <c r="C5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14902.04717067512</v>
      </c>
      <c r="D56" s="7" t="s">
        <v>136</v>
      </c>
      <c r="E56" s="3" t="s">
        <v>137</v>
      </c>
      <c r="F56" s="13" t="s">
        <v>136</v>
      </c>
      <c r="G56" s="3" t="s">
        <v>146</v>
      </c>
      <c r="H56" s="3" t="s">
        <v>149</v>
      </c>
      <c r="I56" s="3" t="s">
        <v>153</v>
      </c>
      <c r="J56" s="13" t="s">
        <v>135</v>
      </c>
    </row>
    <row r="57" spans="1:10" ht="15" x14ac:dyDescent="0.25">
      <c r="A57" s="5" t="s">
        <v>28</v>
      </c>
      <c r="B57" s="6" t="s">
        <v>55</v>
      </c>
      <c r="C5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12132.748281217268</v>
      </c>
      <c r="D57" s="7" t="s">
        <v>135</v>
      </c>
      <c r="E57" s="3" t="s">
        <v>128</v>
      </c>
      <c r="F57" s="13" t="s">
        <v>136</v>
      </c>
      <c r="G57" s="3" t="s">
        <v>144</v>
      </c>
      <c r="H57" s="3" t="s">
        <v>152</v>
      </c>
      <c r="I57" s="3" t="s">
        <v>154</v>
      </c>
      <c r="J57" s="13" t="s">
        <v>135</v>
      </c>
    </row>
    <row r="58" spans="1:10" ht="15" x14ac:dyDescent="0.25">
      <c r="A58" s="8" t="s">
        <v>28</v>
      </c>
      <c r="B58" s="9" t="s">
        <v>103</v>
      </c>
      <c r="C5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10834.426483996172</v>
      </c>
      <c r="D58" s="7" t="s">
        <v>135</v>
      </c>
      <c r="E58" s="3" t="s">
        <v>128</v>
      </c>
      <c r="F58" s="13" t="s">
        <v>136</v>
      </c>
      <c r="G58" s="3" t="s">
        <v>146</v>
      </c>
      <c r="H58" s="3" t="s">
        <v>152</v>
      </c>
      <c r="I58" s="3" t="s">
        <v>154</v>
      </c>
      <c r="J58" s="13" t="s">
        <v>135</v>
      </c>
    </row>
    <row r="59" spans="1:10" ht="15" x14ac:dyDescent="0.25">
      <c r="A59" s="5" t="s">
        <v>29</v>
      </c>
      <c r="B59" s="6" t="s">
        <v>45</v>
      </c>
      <c r="C5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5006.9769404290828</v>
      </c>
      <c r="D59" s="7" t="s">
        <v>136</v>
      </c>
      <c r="E59" s="3" t="s">
        <v>137</v>
      </c>
      <c r="F59" s="13" t="s">
        <v>136</v>
      </c>
      <c r="G59" s="3" t="s">
        <v>146</v>
      </c>
      <c r="H59" s="3" t="s">
        <v>152</v>
      </c>
      <c r="I59" s="3" t="s">
        <v>154</v>
      </c>
      <c r="J59" s="13" t="s">
        <v>135</v>
      </c>
    </row>
    <row r="60" spans="1:10" ht="15" x14ac:dyDescent="0.25">
      <c r="A60" s="8" t="s">
        <v>30</v>
      </c>
      <c r="B60" s="9" t="s">
        <v>60</v>
      </c>
      <c r="C6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717.42775378781221</v>
      </c>
      <c r="D60" s="7" t="s">
        <v>136</v>
      </c>
      <c r="E60" s="3" t="s">
        <v>137</v>
      </c>
      <c r="F60" s="13" t="s">
        <v>136</v>
      </c>
      <c r="G60" s="3" t="s">
        <v>144</v>
      </c>
      <c r="H60" s="3" t="s">
        <v>150</v>
      </c>
      <c r="I60" s="3" t="s">
        <v>153</v>
      </c>
      <c r="J60" s="13" t="s">
        <v>135</v>
      </c>
    </row>
    <row r="61" spans="1:10" ht="15" x14ac:dyDescent="0.25">
      <c r="A61" s="5" t="s">
        <v>30</v>
      </c>
      <c r="B61" s="6" t="s">
        <v>102</v>
      </c>
      <c r="C6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13996.95418132395</v>
      </c>
      <c r="D61" s="7" t="s">
        <v>136</v>
      </c>
      <c r="E61" s="3" t="s">
        <v>131</v>
      </c>
      <c r="F61" s="13" t="s">
        <v>136</v>
      </c>
      <c r="G61" s="3" t="s">
        <v>146</v>
      </c>
      <c r="H61" s="3" t="s">
        <v>151</v>
      </c>
      <c r="I61" s="3" t="s">
        <v>154</v>
      </c>
      <c r="J61" s="13" t="s">
        <v>135</v>
      </c>
    </row>
    <row r="62" spans="1:10" ht="15" x14ac:dyDescent="0.25">
      <c r="A62" s="8" t="s">
        <v>31</v>
      </c>
      <c r="B62" s="9" t="s">
        <v>103</v>
      </c>
      <c r="C6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29547.569374060698</v>
      </c>
      <c r="D62" s="7" t="s">
        <v>136</v>
      </c>
      <c r="E62" s="3" t="s">
        <v>133</v>
      </c>
      <c r="F62" s="13" t="s">
        <v>136</v>
      </c>
      <c r="G62" s="3" t="s">
        <v>144</v>
      </c>
      <c r="H62" s="3" t="s">
        <v>152</v>
      </c>
      <c r="I62" s="3" t="s">
        <v>154</v>
      </c>
      <c r="J62" s="13" t="s">
        <v>135</v>
      </c>
    </row>
    <row r="63" spans="1:10" ht="15" x14ac:dyDescent="0.25">
      <c r="A63" s="5" t="s">
        <v>31</v>
      </c>
      <c r="B63" s="6" t="s">
        <v>68</v>
      </c>
      <c r="C6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31733.457015862015</v>
      </c>
      <c r="D63" s="7" t="s">
        <v>136</v>
      </c>
      <c r="E63" s="3" t="s">
        <v>133</v>
      </c>
      <c r="F63" s="13" t="s">
        <v>136</v>
      </c>
      <c r="G63" s="3" t="s">
        <v>144</v>
      </c>
      <c r="H63" s="3" t="s">
        <v>150</v>
      </c>
      <c r="I63" s="3" t="s">
        <v>153</v>
      </c>
      <c r="J63" s="13" t="s">
        <v>135</v>
      </c>
    </row>
    <row r="64" spans="1:10" ht="15" x14ac:dyDescent="0.25">
      <c r="A64" s="8" t="s">
        <v>31</v>
      </c>
      <c r="B64" s="9" t="s">
        <v>6</v>
      </c>
      <c r="C6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18063.233309056312</v>
      </c>
      <c r="D64" s="7" t="s">
        <v>135</v>
      </c>
      <c r="E64" s="3" t="s">
        <v>128</v>
      </c>
      <c r="F64" s="13" t="s">
        <v>136</v>
      </c>
      <c r="G64" s="3" t="s">
        <v>144</v>
      </c>
      <c r="H64" s="3" t="s">
        <v>149</v>
      </c>
      <c r="I64" s="3" t="s">
        <v>153</v>
      </c>
      <c r="J64" s="13" t="s">
        <v>135</v>
      </c>
    </row>
    <row r="65" spans="1:10" ht="15" x14ac:dyDescent="0.25">
      <c r="A65" s="5" t="s">
        <v>31</v>
      </c>
      <c r="B65" s="6" t="s">
        <v>107</v>
      </c>
      <c r="C6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49286.849728767396</v>
      </c>
      <c r="D65" s="7" t="s">
        <v>136</v>
      </c>
      <c r="E65" s="3" t="s">
        <v>130</v>
      </c>
      <c r="F65" s="13" t="s">
        <v>136</v>
      </c>
      <c r="G65" s="3" t="s">
        <v>144</v>
      </c>
      <c r="H65" s="3" t="s">
        <v>152</v>
      </c>
      <c r="I65" s="3" t="s">
        <v>154</v>
      </c>
      <c r="J65" s="13" t="s">
        <v>135</v>
      </c>
    </row>
    <row r="66" spans="1:10" ht="15" x14ac:dyDescent="0.25">
      <c r="A66" s="8" t="s">
        <v>32</v>
      </c>
      <c r="B66" s="9" t="s">
        <v>15</v>
      </c>
      <c r="C6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8882.1085381188059</v>
      </c>
      <c r="D66" s="7" t="s">
        <v>135</v>
      </c>
      <c r="E66" s="3" t="s">
        <v>128</v>
      </c>
      <c r="F66" s="13" t="s">
        <v>135</v>
      </c>
      <c r="G66" s="3" t="s">
        <v>144</v>
      </c>
      <c r="H66" s="3" t="s">
        <v>149</v>
      </c>
      <c r="I66" s="3" t="s">
        <v>157</v>
      </c>
      <c r="J66" s="13" t="s">
        <v>135</v>
      </c>
    </row>
    <row r="67" spans="1:10" ht="15" x14ac:dyDescent="0.25">
      <c r="A67" s="5" t="s">
        <v>32</v>
      </c>
      <c r="B67" s="6" t="s">
        <v>56</v>
      </c>
      <c r="C6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31751.632996401167</v>
      </c>
      <c r="D67" s="7" t="s">
        <v>135</v>
      </c>
      <c r="E67" s="3" t="s">
        <v>128</v>
      </c>
      <c r="F67" s="13" t="s">
        <v>136</v>
      </c>
      <c r="G67" s="3" t="s">
        <v>146</v>
      </c>
      <c r="H67" s="3" t="s">
        <v>149</v>
      </c>
      <c r="I67" s="3" t="s">
        <v>157</v>
      </c>
      <c r="J67" s="13" t="s">
        <v>135</v>
      </c>
    </row>
    <row r="68" spans="1:10" ht="15" x14ac:dyDescent="0.25">
      <c r="A68" s="8" t="s">
        <v>33</v>
      </c>
      <c r="B68" s="9" t="s">
        <v>18</v>
      </c>
      <c r="C6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11257.296327691012</v>
      </c>
      <c r="D68" s="7" t="s">
        <v>136</v>
      </c>
      <c r="E68" s="3" t="s">
        <v>133</v>
      </c>
      <c r="F68" s="13" t="s">
        <v>136</v>
      </c>
      <c r="G68" s="3" t="s">
        <v>144</v>
      </c>
      <c r="H68" s="3" t="s">
        <v>150</v>
      </c>
      <c r="I68" s="3" t="s">
        <v>153</v>
      </c>
      <c r="J68" s="13" t="s">
        <v>135</v>
      </c>
    </row>
    <row r="69" spans="1:10" ht="15" x14ac:dyDescent="0.25">
      <c r="A69" s="5" t="s">
        <v>33</v>
      </c>
      <c r="B69" s="6" t="s">
        <v>81</v>
      </c>
      <c r="C6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6308.9161267976024</v>
      </c>
      <c r="D69" s="7" t="s">
        <v>135</v>
      </c>
      <c r="E69" s="3" t="s">
        <v>128</v>
      </c>
      <c r="F69" s="13" t="s">
        <v>136</v>
      </c>
      <c r="G69" s="3" t="s">
        <v>146</v>
      </c>
      <c r="H69" s="3" t="s">
        <v>151</v>
      </c>
      <c r="I69" s="3" t="s">
        <v>154</v>
      </c>
      <c r="J69" s="13" t="s">
        <v>135</v>
      </c>
    </row>
    <row r="70" spans="1:10" ht="15" x14ac:dyDescent="0.25">
      <c r="A70" s="8" t="s">
        <v>34</v>
      </c>
      <c r="B70" s="9" t="s">
        <v>102</v>
      </c>
      <c r="C7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821.93167807641612</v>
      </c>
      <c r="D70" s="7" t="s">
        <v>136</v>
      </c>
      <c r="E70" s="3" t="s">
        <v>131</v>
      </c>
      <c r="F70" s="13" t="s">
        <v>136</v>
      </c>
      <c r="G70" s="3" t="s">
        <v>144</v>
      </c>
      <c r="H70" s="3" t="s">
        <v>151</v>
      </c>
      <c r="I70" s="3" t="s">
        <v>154</v>
      </c>
      <c r="J70" s="13" t="s">
        <v>135</v>
      </c>
    </row>
    <row r="71" spans="1:10" ht="15" x14ac:dyDescent="0.25">
      <c r="A71" s="5" t="s">
        <v>34</v>
      </c>
      <c r="B71" s="6" t="s">
        <v>106</v>
      </c>
      <c r="C7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11704.297130323906</v>
      </c>
      <c r="D71" s="7" t="s">
        <v>136</v>
      </c>
      <c r="E71" s="3" t="s">
        <v>131</v>
      </c>
      <c r="F71" s="13" t="s">
        <v>136</v>
      </c>
      <c r="G71" s="3" t="s">
        <v>146</v>
      </c>
      <c r="H71" s="3" t="s">
        <v>152</v>
      </c>
      <c r="I71" s="3" t="s">
        <v>154</v>
      </c>
      <c r="J71" s="13" t="s">
        <v>135</v>
      </c>
    </row>
    <row r="72" spans="1:10" ht="15" x14ac:dyDescent="0.25">
      <c r="A72" s="8" t="s">
        <v>35</v>
      </c>
      <c r="B72" s="9" t="s">
        <v>72</v>
      </c>
      <c r="C7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1589.3069015872893</v>
      </c>
      <c r="D72" s="7" t="s">
        <v>135</v>
      </c>
      <c r="E72" s="3" t="s">
        <v>128</v>
      </c>
      <c r="F72" s="13" t="s">
        <v>135</v>
      </c>
      <c r="G72" s="3" t="s">
        <v>144</v>
      </c>
      <c r="H72" s="3" t="s">
        <v>150</v>
      </c>
      <c r="I72" s="3" t="s">
        <v>153</v>
      </c>
      <c r="J72" s="13" t="s">
        <v>135</v>
      </c>
    </row>
    <row r="73" spans="1:10" ht="15" x14ac:dyDescent="0.25">
      <c r="A73" s="5" t="s">
        <v>35</v>
      </c>
      <c r="B73" s="6" t="s">
        <v>6</v>
      </c>
      <c r="C7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17379.043467481028</v>
      </c>
      <c r="D73" s="7" t="s">
        <v>135</v>
      </c>
      <c r="E73" s="3" t="s">
        <v>133</v>
      </c>
      <c r="F73" s="13" t="s">
        <v>136</v>
      </c>
      <c r="G73" s="3" t="s">
        <v>144</v>
      </c>
      <c r="H73" s="3" t="s">
        <v>150</v>
      </c>
      <c r="I73" s="3" t="s">
        <v>153</v>
      </c>
      <c r="J73" s="13" t="s">
        <v>135</v>
      </c>
    </row>
    <row r="74" spans="1:10" ht="15" x14ac:dyDescent="0.25">
      <c r="A74" s="8" t="s">
        <v>36</v>
      </c>
      <c r="B74" s="9" t="s">
        <v>25</v>
      </c>
      <c r="C7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581.11059502756655</v>
      </c>
      <c r="D74" s="7" t="s">
        <v>136</v>
      </c>
      <c r="E74" s="3" t="s">
        <v>133</v>
      </c>
      <c r="F74" s="13" t="s">
        <v>136</v>
      </c>
      <c r="G74" s="3" t="s">
        <v>146</v>
      </c>
      <c r="H74" s="3" t="s">
        <v>152</v>
      </c>
      <c r="I74" s="3" t="s">
        <v>154</v>
      </c>
      <c r="J74" s="13" t="s">
        <v>135</v>
      </c>
    </row>
    <row r="75" spans="1:10" ht="15" x14ac:dyDescent="0.25">
      <c r="A75" s="5" t="s">
        <v>36</v>
      </c>
      <c r="B75" s="6" t="s">
        <v>93</v>
      </c>
      <c r="C7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16405.116975264409</v>
      </c>
      <c r="D75" s="7" t="s">
        <v>136</v>
      </c>
      <c r="E75" s="3" t="s">
        <v>133</v>
      </c>
      <c r="F75" s="13" t="s">
        <v>136</v>
      </c>
      <c r="G75" s="3" t="s">
        <v>146</v>
      </c>
      <c r="H75" s="3" t="s">
        <v>152</v>
      </c>
      <c r="I75" s="3" t="s">
        <v>154</v>
      </c>
      <c r="J75" s="13" t="s">
        <v>135</v>
      </c>
    </row>
    <row r="76" spans="1:10" ht="15" x14ac:dyDescent="0.25">
      <c r="A76" s="8" t="s">
        <v>37</v>
      </c>
      <c r="B76" s="9" t="s">
        <v>27</v>
      </c>
      <c r="C7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11227.65865369478</v>
      </c>
      <c r="D76" s="7" t="s">
        <v>136</v>
      </c>
      <c r="E76" s="3" t="s">
        <v>137</v>
      </c>
      <c r="F76" s="13" t="s">
        <v>136</v>
      </c>
      <c r="G76" s="3" t="s">
        <v>146</v>
      </c>
      <c r="H76" s="3" t="s">
        <v>151</v>
      </c>
      <c r="I76" s="3" t="s">
        <v>154</v>
      </c>
      <c r="J76" s="13" t="s">
        <v>135</v>
      </c>
    </row>
    <row r="77" spans="1:10" ht="15" x14ac:dyDescent="0.25">
      <c r="A77" s="5" t="s">
        <v>37</v>
      </c>
      <c r="B77" s="6" t="s">
        <v>61</v>
      </c>
      <c r="C7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1435.525547429319</v>
      </c>
      <c r="D77" s="7" t="s">
        <v>136</v>
      </c>
      <c r="E77" s="3" t="s">
        <v>137</v>
      </c>
      <c r="F77" s="13" t="s">
        <v>136</v>
      </c>
      <c r="G77" s="3" t="s">
        <v>146</v>
      </c>
      <c r="H77" s="3" t="s">
        <v>152</v>
      </c>
      <c r="I77" s="3" t="s">
        <v>154</v>
      </c>
      <c r="J77" s="13" t="s">
        <v>135</v>
      </c>
    </row>
    <row r="78" spans="1:10" ht="15" x14ac:dyDescent="0.25">
      <c r="A78" s="8" t="s">
        <v>38</v>
      </c>
      <c r="B78" s="9" t="s">
        <v>46</v>
      </c>
      <c r="C7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16986.107836777268</v>
      </c>
      <c r="D78" s="7" t="s">
        <v>136</v>
      </c>
      <c r="E78" s="3" t="s">
        <v>137</v>
      </c>
      <c r="F78" s="13" t="s">
        <v>136</v>
      </c>
      <c r="G78" s="3" t="s">
        <v>146</v>
      </c>
      <c r="H78" s="3" t="s">
        <v>152</v>
      </c>
      <c r="I78" s="3" t="s">
        <v>154</v>
      </c>
      <c r="J78" s="13" t="s">
        <v>135</v>
      </c>
    </row>
    <row r="79" spans="1:10" ht="15" x14ac:dyDescent="0.25">
      <c r="A79" s="5" t="s">
        <v>38</v>
      </c>
      <c r="B79" s="6" t="s">
        <v>79</v>
      </c>
      <c r="C7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1434.891424379945</v>
      </c>
      <c r="D79" s="7" t="s">
        <v>135</v>
      </c>
      <c r="E79" s="3" t="s">
        <v>128</v>
      </c>
      <c r="F79" s="13" t="s">
        <v>136</v>
      </c>
      <c r="G79" s="3" t="s">
        <v>144</v>
      </c>
      <c r="H79" s="3" t="s">
        <v>150</v>
      </c>
      <c r="I79" s="3" t="s">
        <v>153</v>
      </c>
      <c r="J79" s="13" t="s">
        <v>135</v>
      </c>
    </row>
    <row r="80" spans="1:10" ht="15" x14ac:dyDescent="0.25">
      <c r="A80" s="8" t="s">
        <v>39</v>
      </c>
      <c r="B80" s="9" t="s">
        <v>21</v>
      </c>
      <c r="C8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1623.4973176324163</v>
      </c>
      <c r="D80" s="7" t="s">
        <v>135</v>
      </c>
      <c r="E80" s="3" t="s">
        <v>131</v>
      </c>
      <c r="F80" s="13" t="s">
        <v>136</v>
      </c>
      <c r="G80" s="3" t="s">
        <v>144</v>
      </c>
      <c r="H80" s="3" t="s">
        <v>152</v>
      </c>
      <c r="I80" s="3" t="s">
        <v>154</v>
      </c>
      <c r="J80" s="13" t="s">
        <v>135</v>
      </c>
    </row>
    <row r="81" spans="1:10" ht="15" x14ac:dyDescent="0.25">
      <c r="A81" s="5" t="s">
        <v>39</v>
      </c>
      <c r="B81" s="6" t="s">
        <v>99</v>
      </c>
      <c r="C8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17259.295905941792</v>
      </c>
      <c r="D81" s="7" t="s">
        <v>135</v>
      </c>
      <c r="E81" s="3" t="s">
        <v>131</v>
      </c>
      <c r="F81" s="13" t="s">
        <v>136</v>
      </c>
      <c r="G81" s="3" t="s">
        <v>144</v>
      </c>
      <c r="H81" s="3" t="s">
        <v>152</v>
      </c>
      <c r="I81" s="3" t="s">
        <v>154</v>
      </c>
      <c r="J81" s="13" t="s">
        <v>135</v>
      </c>
    </row>
    <row r="82" spans="1:10" ht="15" x14ac:dyDescent="0.25">
      <c r="A82" s="8" t="s">
        <v>40</v>
      </c>
      <c r="B82" s="9" t="s">
        <v>69</v>
      </c>
      <c r="C8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4104.2197829174766</v>
      </c>
      <c r="D82" s="7" t="s">
        <v>135</v>
      </c>
      <c r="E82" s="3" t="s">
        <v>128</v>
      </c>
      <c r="F82" s="13" t="s">
        <v>136</v>
      </c>
      <c r="G82" s="3" t="s">
        <v>144</v>
      </c>
      <c r="H82" s="3" t="s">
        <v>150</v>
      </c>
      <c r="I82" s="3" t="s">
        <v>157</v>
      </c>
      <c r="J82" s="13" t="s">
        <v>135</v>
      </c>
    </row>
    <row r="83" spans="1:10" ht="15" x14ac:dyDescent="0.25">
      <c r="A83" s="5" t="s">
        <v>40</v>
      </c>
      <c r="B83" s="6" t="s">
        <v>68</v>
      </c>
      <c r="C8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67770.704794767982</v>
      </c>
      <c r="D83" s="7" t="s">
        <v>136</v>
      </c>
      <c r="E83" s="3" t="s">
        <v>133</v>
      </c>
      <c r="F83" s="13" t="s">
        <v>136</v>
      </c>
      <c r="G83" s="3" t="s">
        <v>144</v>
      </c>
      <c r="H83" s="3" t="s">
        <v>151</v>
      </c>
      <c r="I83" s="3" t="s">
        <v>153</v>
      </c>
      <c r="J83" s="13" t="s">
        <v>135</v>
      </c>
    </row>
    <row r="84" spans="1:10" ht="15" x14ac:dyDescent="0.25">
      <c r="A84" s="8" t="s">
        <v>41</v>
      </c>
      <c r="B84" s="9" t="s">
        <v>100</v>
      </c>
      <c r="C8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8851.872419097208</v>
      </c>
      <c r="D84" s="7" t="s">
        <v>135</v>
      </c>
      <c r="E84" s="3" t="s">
        <v>128</v>
      </c>
      <c r="F84" s="13" t="s">
        <v>135</v>
      </c>
      <c r="G84" s="3" t="s">
        <v>144</v>
      </c>
      <c r="H84" s="3" t="s">
        <v>149</v>
      </c>
      <c r="I84" s="3" t="s">
        <v>157</v>
      </c>
      <c r="J84" s="13" t="s">
        <v>135</v>
      </c>
    </row>
    <row r="85" spans="1:10" ht="15" x14ac:dyDescent="0.25">
      <c r="A85" s="5" t="s">
        <v>41</v>
      </c>
      <c r="B85" s="6" t="s">
        <v>19</v>
      </c>
      <c r="C8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1337.2253522959782</v>
      </c>
      <c r="D85" s="7" t="s">
        <v>135</v>
      </c>
      <c r="E85" s="3" t="s">
        <v>128</v>
      </c>
      <c r="F85" s="13" t="s">
        <v>136</v>
      </c>
      <c r="G85" s="3" t="s">
        <v>144</v>
      </c>
      <c r="H85" s="3" t="s">
        <v>149</v>
      </c>
      <c r="I85" s="3" t="s">
        <v>153</v>
      </c>
      <c r="J85" s="13" t="s">
        <v>135</v>
      </c>
    </row>
    <row r="86" spans="1:10" ht="15" x14ac:dyDescent="0.25">
      <c r="A86" s="8" t="s">
        <v>42</v>
      </c>
      <c r="B86" s="9" t="s">
        <v>13</v>
      </c>
      <c r="C8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13449.316566020203</v>
      </c>
      <c r="D86" s="7" t="s">
        <v>135</v>
      </c>
      <c r="E86" s="3" t="s">
        <v>128</v>
      </c>
      <c r="F86" s="13" t="s">
        <v>135</v>
      </c>
      <c r="G86" s="3" t="s">
        <v>144</v>
      </c>
      <c r="H86" s="3" t="s">
        <v>148</v>
      </c>
      <c r="I86" s="3" t="s">
        <v>157</v>
      </c>
      <c r="J86" s="13" t="s">
        <v>135</v>
      </c>
    </row>
    <row r="87" spans="1:10" ht="15" x14ac:dyDescent="0.25">
      <c r="A87" s="5" t="s">
        <v>42</v>
      </c>
      <c r="B87" s="6" t="s">
        <v>107</v>
      </c>
      <c r="C8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13234.102508812628</v>
      </c>
      <c r="D87" s="7" t="s">
        <v>135</v>
      </c>
      <c r="E87" s="3" t="s">
        <v>128</v>
      </c>
      <c r="F87" s="13" t="s">
        <v>135</v>
      </c>
      <c r="G87" s="3" t="s">
        <v>144</v>
      </c>
      <c r="H87" s="3" t="s">
        <v>150</v>
      </c>
      <c r="I87" s="3" t="s">
        <v>153</v>
      </c>
      <c r="J87" s="13" t="s">
        <v>135</v>
      </c>
    </row>
    <row r="88" spans="1:10" ht="15" x14ac:dyDescent="0.25">
      <c r="A88" s="8" t="s">
        <v>43</v>
      </c>
      <c r="B88" s="9" t="s">
        <v>15</v>
      </c>
      <c r="C8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17964.888917578344</v>
      </c>
      <c r="D88" s="7" t="s">
        <v>135</v>
      </c>
      <c r="E88" s="3" t="s">
        <v>133</v>
      </c>
      <c r="F88" s="13" t="s">
        <v>136</v>
      </c>
      <c r="G88" s="3" t="s">
        <v>144</v>
      </c>
      <c r="H88" s="3" t="s">
        <v>150</v>
      </c>
      <c r="I88" s="3" t="s">
        <v>154</v>
      </c>
      <c r="J88" s="13" t="s">
        <v>135</v>
      </c>
    </row>
    <row r="89" spans="1:10" ht="15" x14ac:dyDescent="0.25">
      <c r="A89" s="5" t="s">
        <v>43</v>
      </c>
      <c r="B89" s="6" t="s">
        <v>56</v>
      </c>
      <c r="C8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4920.0582704342578</v>
      </c>
      <c r="D89" s="7" t="s">
        <v>136</v>
      </c>
      <c r="E89" s="3" t="s">
        <v>133</v>
      </c>
      <c r="F89" s="13" t="s">
        <v>136</v>
      </c>
      <c r="G89" s="3" t="s">
        <v>146</v>
      </c>
      <c r="H89" s="3" t="s">
        <v>148</v>
      </c>
      <c r="I89" s="3" t="s">
        <v>157</v>
      </c>
      <c r="J89" s="13" t="s">
        <v>135</v>
      </c>
    </row>
    <row r="90" spans="1:10" ht="15" x14ac:dyDescent="0.25">
      <c r="A90" s="8" t="s">
        <v>43</v>
      </c>
      <c r="B90" s="9" t="s">
        <v>86</v>
      </c>
      <c r="C9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47967.487820324342</v>
      </c>
      <c r="D90" s="7" t="s">
        <v>136</v>
      </c>
      <c r="E90" s="3" t="s">
        <v>131</v>
      </c>
      <c r="F90" s="13" t="s">
        <v>136</v>
      </c>
      <c r="G90" s="3" t="s">
        <v>144</v>
      </c>
      <c r="H90" s="3" t="s">
        <v>151</v>
      </c>
      <c r="I90" s="3" t="s">
        <v>154</v>
      </c>
      <c r="J90" s="13" t="s">
        <v>135</v>
      </c>
    </row>
    <row r="91" spans="1:10" ht="15" x14ac:dyDescent="0.25">
      <c r="A91" s="5" t="s">
        <v>44</v>
      </c>
      <c r="B91" s="6" t="s">
        <v>87</v>
      </c>
      <c r="C9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769.10034604774182</v>
      </c>
      <c r="D91" s="7" t="s">
        <v>136</v>
      </c>
      <c r="E91" s="3" t="s">
        <v>131</v>
      </c>
      <c r="F91" s="13" t="s">
        <v>136</v>
      </c>
      <c r="G91" s="3" t="s">
        <v>146</v>
      </c>
      <c r="H91" s="3" t="s">
        <v>152</v>
      </c>
      <c r="I91" s="3" t="s">
        <v>154</v>
      </c>
      <c r="J91" s="13" t="s">
        <v>135</v>
      </c>
    </row>
    <row r="92" spans="1:10" ht="15" x14ac:dyDescent="0.25">
      <c r="A92" s="8" t="s">
        <v>44</v>
      </c>
      <c r="B92" s="9" t="s">
        <v>85</v>
      </c>
      <c r="C9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4015.7805140463042</v>
      </c>
      <c r="D92" s="7" t="s">
        <v>136</v>
      </c>
      <c r="E92" s="3" t="s">
        <v>131</v>
      </c>
      <c r="F92" s="13" t="s">
        <v>136</v>
      </c>
      <c r="G92" s="3" t="s">
        <v>146</v>
      </c>
      <c r="H92" s="3" t="s">
        <v>152</v>
      </c>
      <c r="I92" s="3" t="s">
        <v>154</v>
      </c>
      <c r="J92" s="13" t="s">
        <v>135</v>
      </c>
    </row>
    <row r="93" spans="1:10" ht="15" x14ac:dyDescent="0.25">
      <c r="A93" s="5" t="s">
        <v>45</v>
      </c>
      <c r="B93" s="6" t="s">
        <v>41</v>
      </c>
      <c r="C9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1521.1977446562271</v>
      </c>
      <c r="D93" s="7" t="s">
        <v>135</v>
      </c>
      <c r="E93" s="3" t="s">
        <v>128</v>
      </c>
      <c r="F93" s="13" t="s">
        <v>135</v>
      </c>
      <c r="G93" s="3" t="s">
        <v>144</v>
      </c>
      <c r="H93" s="3" t="s">
        <v>148</v>
      </c>
      <c r="I93" s="3" t="s">
        <v>157</v>
      </c>
      <c r="J93" s="13" t="s">
        <v>135</v>
      </c>
    </row>
    <row r="94" spans="1:10" ht="15" x14ac:dyDescent="0.25">
      <c r="A94" s="5" t="s">
        <v>45</v>
      </c>
      <c r="B94" s="10" t="s">
        <v>66</v>
      </c>
      <c r="C9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6322.8142765179955</v>
      </c>
      <c r="D94" s="7" t="s">
        <v>136</v>
      </c>
      <c r="E94" s="3" t="s">
        <v>133</v>
      </c>
      <c r="F94" s="13" t="s">
        <v>136</v>
      </c>
      <c r="G94" s="3" t="s">
        <v>146</v>
      </c>
      <c r="H94" s="3" t="s">
        <v>152</v>
      </c>
      <c r="I94" s="3" t="s">
        <v>154</v>
      </c>
      <c r="J94" s="13" t="s">
        <v>135</v>
      </c>
    </row>
    <row r="95" spans="1:10" ht="15" x14ac:dyDescent="0.25">
      <c r="A95" s="5" t="s">
        <v>46</v>
      </c>
      <c r="B95" s="6" t="s">
        <v>29</v>
      </c>
      <c r="C9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3434.8229413147969</v>
      </c>
      <c r="D95" s="7" t="s">
        <v>136</v>
      </c>
      <c r="E95" s="3" t="s">
        <v>137</v>
      </c>
      <c r="F95" s="13" t="s">
        <v>136</v>
      </c>
      <c r="G95" s="3" t="s">
        <v>146</v>
      </c>
      <c r="H95" s="3" t="s">
        <v>152</v>
      </c>
      <c r="I95" s="3" t="s">
        <v>154</v>
      </c>
      <c r="J95" s="13" t="s">
        <v>135</v>
      </c>
    </row>
    <row r="96" spans="1:10" ht="15" x14ac:dyDescent="0.25">
      <c r="A96" s="8" t="s">
        <v>46</v>
      </c>
      <c r="B96" s="9" t="s">
        <v>93</v>
      </c>
      <c r="C9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598.19830434235348</v>
      </c>
      <c r="D96" s="7" t="s">
        <v>136</v>
      </c>
      <c r="E96" s="3" t="s">
        <v>137</v>
      </c>
      <c r="F96" s="13" t="s">
        <v>136</v>
      </c>
      <c r="G96" s="3" t="s">
        <v>146</v>
      </c>
      <c r="H96" s="3" t="s">
        <v>151</v>
      </c>
      <c r="I96" s="3" t="s">
        <v>154</v>
      </c>
      <c r="J96" s="13" t="s">
        <v>135</v>
      </c>
    </row>
    <row r="97" spans="1:10" ht="15" x14ac:dyDescent="0.25">
      <c r="A97" s="5" t="s">
        <v>47</v>
      </c>
      <c r="B97" s="6" t="s">
        <v>107</v>
      </c>
      <c r="C9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3230.169994050369</v>
      </c>
      <c r="D97" s="7" t="s">
        <v>136</v>
      </c>
      <c r="E97" s="3" t="s">
        <v>130</v>
      </c>
      <c r="F97" s="13" t="s">
        <v>136</v>
      </c>
      <c r="G97" s="3" t="s">
        <v>144</v>
      </c>
      <c r="H97" s="3" t="s">
        <v>152</v>
      </c>
      <c r="I97" s="3" t="s">
        <v>154</v>
      </c>
      <c r="J97" s="13" t="s">
        <v>135</v>
      </c>
    </row>
    <row r="98" spans="1:10" ht="15" x14ac:dyDescent="0.25">
      <c r="A98" s="8" t="s">
        <v>47</v>
      </c>
      <c r="B98" s="9" t="s">
        <v>10</v>
      </c>
      <c r="C9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17619.429947195829</v>
      </c>
      <c r="D98" s="7" t="s">
        <v>135</v>
      </c>
      <c r="E98" s="3" t="s">
        <v>128</v>
      </c>
      <c r="F98" s="13" t="s">
        <v>135</v>
      </c>
      <c r="G98" s="3" t="s">
        <v>144</v>
      </c>
      <c r="H98" s="3" t="s">
        <v>148</v>
      </c>
      <c r="I98" s="3" t="s">
        <v>157</v>
      </c>
      <c r="J98" s="13" t="s">
        <v>135</v>
      </c>
    </row>
    <row r="99" spans="1:10" ht="15" x14ac:dyDescent="0.25">
      <c r="A99" s="5" t="s">
        <v>47</v>
      </c>
      <c r="B99" s="6" t="s">
        <v>49</v>
      </c>
      <c r="C9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20182.778842936452</v>
      </c>
      <c r="D99" s="7" t="s">
        <v>136</v>
      </c>
      <c r="E99" s="3" t="s">
        <v>130</v>
      </c>
      <c r="F99" s="13" t="s">
        <v>136</v>
      </c>
      <c r="G99" s="3" t="s">
        <v>144</v>
      </c>
      <c r="H99" s="3" t="s">
        <v>152</v>
      </c>
      <c r="I99" s="3" t="s">
        <v>154</v>
      </c>
      <c r="J99" s="13" t="s">
        <v>135</v>
      </c>
    </row>
    <row r="100" spans="1:10" ht="15" x14ac:dyDescent="0.25">
      <c r="A100" s="8" t="s">
        <v>48</v>
      </c>
      <c r="B100" s="9" t="s">
        <v>52</v>
      </c>
      <c r="C10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12919.052442795104</v>
      </c>
      <c r="D100" s="7" t="s">
        <v>136</v>
      </c>
      <c r="E100" s="3" t="s">
        <v>133</v>
      </c>
      <c r="F100" s="13" t="s">
        <v>136</v>
      </c>
      <c r="G100" s="3" t="s">
        <v>146</v>
      </c>
      <c r="H100" s="3" t="s">
        <v>152</v>
      </c>
      <c r="I100" s="3" t="s">
        <v>154</v>
      </c>
      <c r="J100" s="13" t="s">
        <v>135</v>
      </c>
    </row>
    <row r="101" spans="1:10" ht="15" x14ac:dyDescent="0.25">
      <c r="A101" s="5" t="s">
        <v>49</v>
      </c>
      <c r="B101" s="6" t="s">
        <v>59</v>
      </c>
      <c r="C10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2137.4270589280422</v>
      </c>
      <c r="D101" s="7" t="s">
        <v>136</v>
      </c>
      <c r="E101" s="3" t="s">
        <v>137</v>
      </c>
      <c r="F101" s="13" t="s">
        <v>136</v>
      </c>
      <c r="G101" s="3" t="s">
        <v>144</v>
      </c>
      <c r="H101" s="3" t="s">
        <v>152</v>
      </c>
      <c r="I101" s="3" t="s">
        <v>154</v>
      </c>
      <c r="J101" s="13" t="s">
        <v>135</v>
      </c>
    </row>
    <row r="102" spans="1:10" ht="15" x14ac:dyDescent="0.25">
      <c r="A102" s="8" t="s">
        <v>49</v>
      </c>
      <c r="B102" s="9" t="s">
        <v>47</v>
      </c>
      <c r="C10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20182.778842936452</v>
      </c>
      <c r="D102" s="7" t="s">
        <v>136</v>
      </c>
      <c r="E102" s="3" t="s">
        <v>130</v>
      </c>
      <c r="F102" s="13" t="s">
        <v>136</v>
      </c>
      <c r="G102" s="3" t="s">
        <v>144</v>
      </c>
      <c r="H102" s="3" t="s">
        <v>152</v>
      </c>
      <c r="I102" s="3" t="s">
        <v>154</v>
      </c>
      <c r="J102" s="13" t="s">
        <v>135</v>
      </c>
    </row>
    <row r="103" spans="1:10" ht="15" x14ac:dyDescent="0.25">
      <c r="A103" s="5" t="s">
        <v>50</v>
      </c>
      <c r="B103" s="6" t="s">
        <v>70</v>
      </c>
      <c r="C10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4033.274639578467</v>
      </c>
      <c r="D103" s="7" t="s">
        <v>135</v>
      </c>
      <c r="E103" s="3" t="s">
        <v>128</v>
      </c>
      <c r="F103" s="13" t="s">
        <v>136</v>
      </c>
      <c r="G103" s="3" t="s">
        <v>144</v>
      </c>
      <c r="H103" s="3" t="s">
        <v>152</v>
      </c>
      <c r="I103" s="3" t="s">
        <v>154</v>
      </c>
      <c r="J103" s="13" t="s">
        <v>135</v>
      </c>
    </row>
    <row r="104" spans="1:10" ht="15" x14ac:dyDescent="0.25">
      <c r="A104" s="8" t="s">
        <v>50</v>
      </c>
      <c r="B104" s="9" t="s">
        <v>64</v>
      </c>
      <c r="C10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4545.5404806223751</v>
      </c>
      <c r="D104" s="7" t="s">
        <v>135</v>
      </c>
      <c r="E104" s="3" t="s">
        <v>128</v>
      </c>
      <c r="F104" s="13" t="s">
        <v>136</v>
      </c>
      <c r="G104" s="3" t="s">
        <v>144</v>
      </c>
      <c r="H104" s="3" t="s">
        <v>152</v>
      </c>
      <c r="I104" s="3" t="s">
        <v>154</v>
      </c>
      <c r="J104" s="13" t="s">
        <v>135</v>
      </c>
    </row>
    <row r="105" spans="1:10" ht="15" x14ac:dyDescent="0.25">
      <c r="A105" s="5" t="s">
        <v>51</v>
      </c>
      <c r="B105" s="6" t="s">
        <v>7</v>
      </c>
      <c r="C10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4717.3697364105383</v>
      </c>
      <c r="D105" s="7" t="s">
        <v>136</v>
      </c>
      <c r="E105" s="3" t="s">
        <v>133</v>
      </c>
      <c r="F105" s="13" t="s">
        <v>136</v>
      </c>
      <c r="G105" s="3" t="s">
        <v>146</v>
      </c>
      <c r="H105" s="3" t="s">
        <v>151</v>
      </c>
      <c r="I105" s="3" t="s">
        <v>154</v>
      </c>
      <c r="J105" s="13" t="s">
        <v>135</v>
      </c>
    </row>
    <row r="106" spans="1:10" ht="15" x14ac:dyDescent="0.25">
      <c r="A106" s="8" t="s">
        <v>51</v>
      </c>
      <c r="B106" s="9" t="s">
        <v>62</v>
      </c>
      <c r="C10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1537.9801159539641</v>
      </c>
      <c r="D106" s="7" t="s">
        <v>136</v>
      </c>
      <c r="E106" s="3" t="s">
        <v>133</v>
      </c>
      <c r="F106" s="13" t="s">
        <v>135</v>
      </c>
      <c r="G106" s="3" t="s">
        <v>144</v>
      </c>
      <c r="H106" s="3" t="s">
        <v>150</v>
      </c>
      <c r="I106" s="3" t="s">
        <v>153</v>
      </c>
      <c r="J106" s="13" t="s">
        <v>135</v>
      </c>
    </row>
    <row r="107" spans="1:10" ht="15" x14ac:dyDescent="0.25">
      <c r="A107" s="5" t="s">
        <v>52</v>
      </c>
      <c r="B107" s="6" t="s">
        <v>36</v>
      </c>
      <c r="C10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2614.5695739298244</v>
      </c>
      <c r="D107" s="7" t="s">
        <v>136</v>
      </c>
      <c r="E107" s="3" t="s">
        <v>133</v>
      </c>
      <c r="F107" s="13" t="s">
        <v>136</v>
      </c>
      <c r="G107" s="3" t="s">
        <v>146</v>
      </c>
      <c r="H107" s="3" t="s">
        <v>152</v>
      </c>
      <c r="I107" s="3" t="s">
        <v>154</v>
      </c>
      <c r="J107" s="13" t="s">
        <v>135</v>
      </c>
    </row>
    <row r="108" spans="1:10" ht="15" x14ac:dyDescent="0.25">
      <c r="A108" s="8" t="s">
        <v>53</v>
      </c>
      <c r="B108" s="9" t="s">
        <v>85</v>
      </c>
      <c r="C10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1572.2591976825061</v>
      </c>
      <c r="D108" s="7" t="s">
        <v>136</v>
      </c>
      <c r="E108" s="3" t="s">
        <v>133</v>
      </c>
      <c r="F108" s="13" t="s">
        <v>136</v>
      </c>
      <c r="G108" s="3" t="s">
        <v>144</v>
      </c>
      <c r="H108" s="3" t="s">
        <v>150</v>
      </c>
      <c r="I108" s="3" t="s">
        <v>153</v>
      </c>
      <c r="J108" s="13" t="s">
        <v>135</v>
      </c>
    </row>
    <row r="109" spans="1:10" ht="15" x14ac:dyDescent="0.25">
      <c r="A109" s="5" t="s">
        <v>53</v>
      </c>
      <c r="B109" s="6" t="s">
        <v>87</v>
      </c>
      <c r="C10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3212.655133401357</v>
      </c>
      <c r="D109" s="7" t="s">
        <v>136</v>
      </c>
      <c r="E109" s="3" t="s">
        <v>133</v>
      </c>
      <c r="F109" s="13" t="s">
        <v>136</v>
      </c>
      <c r="G109" s="3" t="s">
        <v>146</v>
      </c>
      <c r="H109" s="3" t="s">
        <v>152</v>
      </c>
      <c r="I109" s="3" t="s">
        <v>154</v>
      </c>
      <c r="J109" s="13" t="s">
        <v>135</v>
      </c>
    </row>
    <row r="110" spans="1:10" ht="15" x14ac:dyDescent="0.25">
      <c r="A110" s="8" t="s">
        <v>54</v>
      </c>
      <c r="B110" s="9" t="s">
        <v>75</v>
      </c>
      <c r="C11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11467.744709844505</v>
      </c>
      <c r="D110" s="7" t="s">
        <v>136</v>
      </c>
      <c r="E110" s="3" t="s">
        <v>137</v>
      </c>
      <c r="F110" s="13" t="s">
        <v>136</v>
      </c>
      <c r="G110" s="3" t="s">
        <v>146</v>
      </c>
      <c r="H110" s="3" t="s">
        <v>150</v>
      </c>
      <c r="I110" s="3" t="s">
        <v>153</v>
      </c>
      <c r="J110" s="13" t="s">
        <v>135</v>
      </c>
    </row>
    <row r="111" spans="1:10" ht="15" x14ac:dyDescent="0.25">
      <c r="A111" s="5" t="s">
        <v>54</v>
      </c>
      <c r="B111" s="6" t="s">
        <v>91</v>
      </c>
      <c r="C11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4921.5093576453164</v>
      </c>
      <c r="D111" s="7" t="s">
        <v>136</v>
      </c>
      <c r="E111" s="3" t="s">
        <v>137</v>
      </c>
      <c r="F111" s="13" t="s">
        <v>136</v>
      </c>
      <c r="G111" s="3" t="s">
        <v>146</v>
      </c>
      <c r="H111" s="3" t="s">
        <v>152</v>
      </c>
      <c r="I111" s="3" t="s">
        <v>154</v>
      </c>
      <c r="J111" s="13" t="s">
        <v>135</v>
      </c>
    </row>
    <row r="112" spans="1:10" ht="15" x14ac:dyDescent="0.25">
      <c r="A112" s="8" t="s">
        <v>55</v>
      </c>
      <c r="B112" s="9" t="s">
        <v>94</v>
      </c>
      <c r="C11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8511.2472889610035</v>
      </c>
      <c r="D112" s="7" t="s">
        <v>135</v>
      </c>
      <c r="E112" s="3" t="s">
        <v>128</v>
      </c>
      <c r="F112" s="13" t="s">
        <v>135</v>
      </c>
      <c r="G112" s="3" t="s">
        <v>144</v>
      </c>
      <c r="H112" s="3" t="s">
        <v>150</v>
      </c>
      <c r="I112" s="3" t="s">
        <v>153</v>
      </c>
      <c r="J112" s="13" t="s">
        <v>135</v>
      </c>
    </row>
    <row r="113" spans="1:10" ht="15" x14ac:dyDescent="0.25">
      <c r="A113" s="5" t="s">
        <v>55</v>
      </c>
      <c r="B113" s="6" t="s">
        <v>28</v>
      </c>
      <c r="C11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12132.748281217268</v>
      </c>
      <c r="D113" s="7" t="s">
        <v>135</v>
      </c>
      <c r="E113" s="3" t="s">
        <v>128</v>
      </c>
      <c r="F113" s="13" t="s">
        <v>136</v>
      </c>
      <c r="G113" s="3" t="s">
        <v>144</v>
      </c>
      <c r="H113" s="3" t="s">
        <v>152</v>
      </c>
      <c r="I113" s="3" t="s">
        <v>154</v>
      </c>
      <c r="J113" s="13" t="s">
        <v>135</v>
      </c>
    </row>
    <row r="114" spans="1:10" ht="15" x14ac:dyDescent="0.25">
      <c r="A114" s="8" t="s">
        <v>55</v>
      </c>
      <c r="B114" s="9" t="s">
        <v>88</v>
      </c>
      <c r="C11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25923.261015234155</v>
      </c>
      <c r="D114" s="7" t="s">
        <v>135</v>
      </c>
      <c r="E114" s="3" t="s">
        <v>128</v>
      </c>
      <c r="F114" s="13" t="s">
        <v>136</v>
      </c>
      <c r="G114" s="3" t="s">
        <v>144</v>
      </c>
      <c r="H114" s="3" t="s">
        <v>151</v>
      </c>
      <c r="I114" s="3" t="s">
        <v>154</v>
      </c>
      <c r="J114" s="13" t="s">
        <v>135</v>
      </c>
    </row>
    <row r="115" spans="1:10" ht="15" x14ac:dyDescent="0.25">
      <c r="A115" s="5" t="s">
        <v>56</v>
      </c>
      <c r="B115" s="6" t="s">
        <v>32</v>
      </c>
      <c r="C11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31751.632996401167</v>
      </c>
      <c r="D115" s="7" t="s">
        <v>135</v>
      </c>
      <c r="E115" s="3" t="s">
        <v>128</v>
      </c>
      <c r="F115" s="13" t="s">
        <v>136</v>
      </c>
      <c r="G115" s="3" t="s">
        <v>146</v>
      </c>
      <c r="H115" s="3" t="s">
        <v>149</v>
      </c>
      <c r="I115" s="3" t="s">
        <v>157</v>
      </c>
      <c r="J115" s="13" t="s">
        <v>135</v>
      </c>
    </row>
    <row r="116" spans="1:10" ht="15" x14ac:dyDescent="0.25">
      <c r="A116" s="8" t="s">
        <v>56</v>
      </c>
      <c r="B116" s="9" t="s">
        <v>43</v>
      </c>
      <c r="C11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4920.0582704342578</v>
      </c>
      <c r="D116" s="7" t="s">
        <v>136</v>
      </c>
      <c r="E116" s="3" t="s">
        <v>133</v>
      </c>
      <c r="F116" s="13" t="s">
        <v>136</v>
      </c>
      <c r="G116" s="3" t="s">
        <v>146</v>
      </c>
      <c r="H116" s="3" t="s">
        <v>148</v>
      </c>
      <c r="I116" s="3" t="s">
        <v>157</v>
      </c>
      <c r="J116" s="13" t="s">
        <v>135</v>
      </c>
    </row>
    <row r="117" spans="1:10" ht="15" x14ac:dyDescent="0.25">
      <c r="A117" s="5" t="s">
        <v>56</v>
      </c>
      <c r="B117" s="6" t="s">
        <v>82</v>
      </c>
      <c r="C11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86383.470758135561</v>
      </c>
      <c r="D117" s="7" t="s">
        <v>135</v>
      </c>
      <c r="E117" s="3" t="s">
        <v>128</v>
      </c>
      <c r="F117" s="13" t="s">
        <v>135</v>
      </c>
      <c r="G117" s="3" t="s">
        <v>144</v>
      </c>
      <c r="H117" s="3" t="s">
        <v>150</v>
      </c>
      <c r="I117" s="3" t="s">
        <v>153</v>
      </c>
      <c r="J117" s="13" t="s">
        <v>135</v>
      </c>
    </row>
    <row r="118" spans="1:10" ht="15" x14ac:dyDescent="0.25">
      <c r="A118" s="8" t="s">
        <v>57</v>
      </c>
      <c r="B118" s="9" t="s">
        <v>58</v>
      </c>
      <c r="C11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1196.1887013398193</v>
      </c>
      <c r="D118" s="7" t="s">
        <v>136</v>
      </c>
      <c r="E118" s="3" t="s">
        <v>137</v>
      </c>
      <c r="F118" s="13" t="s">
        <v>136</v>
      </c>
      <c r="G118" s="3" t="s">
        <v>144</v>
      </c>
      <c r="H118" s="3" t="s">
        <v>150</v>
      </c>
      <c r="I118" s="3" t="s">
        <v>153</v>
      </c>
      <c r="J118" s="13" t="s">
        <v>135</v>
      </c>
    </row>
    <row r="119" spans="1:10" ht="15" x14ac:dyDescent="0.25">
      <c r="A119" s="5" t="s">
        <v>57</v>
      </c>
      <c r="B119" s="6" t="s">
        <v>105</v>
      </c>
      <c r="C11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22574.012006459208</v>
      </c>
      <c r="D119" s="7" t="s">
        <v>136</v>
      </c>
      <c r="E119" s="3" t="s">
        <v>137</v>
      </c>
      <c r="F119" s="13" t="s">
        <v>136</v>
      </c>
      <c r="G119" s="3" t="s">
        <v>146</v>
      </c>
      <c r="H119" s="3" t="s">
        <v>150</v>
      </c>
      <c r="I119" s="3" t="s">
        <v>154</v>
      </c>
      <c r="J119" s="13" t="s">
        <v>135</v>
      </c>
    </row>
    <row r="120" spans="1:10" ht="15" x14ac:dyDescent="0.25">
      <c r="A120" s="8" t="s">
        <v>58</v>
      </c>
      <c r="B120" s="9" t="s">
        <v>57</v>
      </c>
      <c r="C12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1196.1887013398193</v>
      </c>
      <c r="D120" s="7" t="s">
        <v>136</v>
      </c>
      <c r="E120" s="3" t="s">
        <v>137</v>
      </c>
      <c r="F120" s="13" t="s">
        <v>136</v>
      </c>
      <c r="G120" s="3" t="s">
        <v>144</v>
      </c>
      <c r="H120" s="3" t="s">
        <v>150</v>
      </c>
      <c r="I120" s="3" t="s">
        <v>153</v>
      </c>
      <c r="J120" s="13" t="s">
        <v>135</v>
      </c>
    </row>
    <row r="121" spans="1:10" ht="15" x14ac:dyDescent="0.25">
      <c r="A121" s="5" t="s">
        <v>58</v>
      </c>
      <c r="B121" s="6" t="s">
        <v>8</v>
      </c>
      <c r="C12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99010.07836147683</v>
      </c>
      <c r="D121" s="7" t="s">
        <v>136</v>
      </c>
      <c r="E121" s="3" t="s">
        <v>133</v>
      </c>
      <c r="F121" s="13" t="s">
        <v>136</v>
      </c>
      <c r="G121" s="3" t="s">
        <v>146</v>
      </c>
      <c r="H121" s="3" t="s">
        <v>151</v>
      </c>
      <c r="I121" s="3" t="s">
        <v>154</v>
      </c>
      <c r="J121" s="13" t="s">
        <v>135</v>
      </c>
    </row>
    <row r="122" spans="1:10" ht="15" x14ac:dyDescent="0.25">
      <c r="A122" s="8" t="s">
        <v>59</v>
      </c>
      <c r="B122" s="9" t="s">
        <v>86</v>
      </c>
      <c r="C12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29648.366974350483</v>
      </c>
      <c r="D122" s="7" t="s">
        <v>136</v>
      </c>
      <c r="E122" s="3" t="s">
        <v>133</v>
      </c>
      <c r="F122" s="13" t="s">
        <v>136</v>
      </c>
      <c r="G122" s="3" t="s">
        <v>144</v>
      </c>
      <c r="H122" s="3" t="s">
        <v>152</v>
      </c>
      <c r="I122" s="3" t="s">
        <v>154</v>
      </c>
      <c r="J122" s="13" t="s">
        <v>135</v>
      </c>
    </row>
    <row r="123" spans="1:10" ht="15" x14ac:dyDescent="0.25">
      <c r="A123" s="5" t="s">
        <v>59</v>
      </c>
      <c r="B123" s="6" t="s">
        <v>10</v>
      </c>
      <c r="C12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39935.660237081509</v>
      </c>
      <c r="D123" s="7" t="s">
        <v>135</v>
      </c>
      <c r="E123" s="3" t="s">
        <v>128</v>
      </c>
      <c r="F123" s="13" t="s">
        <v>136</v>
      </c>
      <c r="G123" s="3" t="s">
        <v>144</v>
      </c>
      <c r="H123" s="3" t="s">
        <v>150</v>
      </c>
      <c r="I123" s="3" t="s">
        <v>153</v>
      </c>
      <c r="J123" s="13" t="s">
        <v>135</v>
      </c>
    </row>
    <row r="124" spans="1:10" ht="15" x14ac:dyDescent="0.25">
      <c r="A124" s="8" t="s">
        <v>59</v>
      </c>
      <c r="B124" s="9" t="s">
        <v>49</v>
      </c>
      <c r="C12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2137.4270589280422</v>
      </c>
      <c r="D124" s="7" t="s">
        <v>136</v>
      </c>
      <c r="E124" s="3" t="s">
        <v>137</v>
      </c>
      <c r="F124" s="13" t="s">
        <v>136</v>
      </c>
      <c r="G124" s="3" t="s">
        <v>144</v>
      </c>
      <c r="H124" s="3" t="s">
        <v>152</v>
      </c>
      <c r="I124" s="3" t="s">
        <v>154</v>
      </c>
      <c r="J124" s="13" t="s">
        <v>135</v>
      </c>
    </row>
    <row r="125" spans="1:10" ht="15" x14ac:dyDescent="0.25">
      <c r="A125" s="5" t="s">
        <v>60</v>
      </c>
      <c r="B125" s="6" t="s">
        <v>73</v>
      </c>
      <c r="C12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14439.737037296203</v>
      </c>
      <c r="D125" s="7" t="s">
        <v>136</v>
      </c>
      <c r="E125" s="3" t="s">
        <v>137</v>
      </c>
      <c r="F125" s="13" t="s">
        <v>136</v>
      </c>
      <c r="G125" s="3" t="s">
        <v>144</v>
      </c>
      <c r="H125" s="3" t="s">
        <v>150</v>
      </c>
      <c r="I125" s="3" t="s">
        <v>153</v>
      </c>
      <c r="J125" s="13" t="s">
        <v>135</v>
      </c>
    </row>
    <row r="126" spans="1:10" ht="15" x14ac:dyDescent="0.25">
      <c r="A126" s="8" t="s">
        <v>61</v>
      </c>
      <c r="B126" s="9" t="s">
        <v>63</v>
      </c>
      <c r="C12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737.81919848887424</v>
      </c>
      <c r="D126" s="7" t="s">
        <v>135</v>
      </c>
      <c r="E126" s="3" t="s">
        <v>128</v>
      </c>
      <c r="F126" s="13" t="s">
        <v>136</v>
      </c>
      <c r="G126" s="3" t="s">
        <v>146</v>
      </c>
      <c r="H126" s="3" t="s">
        <v>152</v>
      </c>
      <c r="I126" s="3" t="s">
        <v>154</v>
      </c>
      <c r="J126" s="13" t="s">
        <v>135</v>
      </c>
    </row>
    <row r="127" spans="1:10" ht="15" x14ac:dyDescent="0.25">
      <c r="A127" s="5" t="s">
        <v>62</v>
      </c>
      <c r="B127" s="6" t="s">
        <v>51</v>
      </c>
      <c r="C12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1537.9801159539641</v>
      </c>
      <c r="D127" s="7" t="s">
        <v>136</v>
      </c>
      <c r="E127" s="3" t="s">
        <v>133</v>
      </c>
      <c r="F127" s="13" t="s">
        <v>135</v>
      </c>
      <c r="G127" s="3" t="s">
        <v>144</v>
      </c>
      <c r="H127" s="3" t="s">
        <v>150</v>
      </c>
      <c r="I127" s="3" t="s">
        <v>153</v>
      </c>
      <c r="J127" s="13" t="s">
        <v>135</v>
      </c>
    </row>
    <row r="128" spans="1:10" ht="15" x14ac:dyDescent="0.25">
      <c r="A128" s="8" t="s">
        <v>62</v>
      </c>
      <c r="B128" s="9" t="s">
        <v>90</v>
      </c>
      <c r="C12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6016.6169437826429</v>
      </c>
      <c r="D128" s="7" t="s">
        <v>136</v>
      </c>
      <c r="E128" s="3" t="s">
        <v>133</v>
      </c>
      <c r="F128" s="13" t="s">
        <v>136</v>
      </c>
      <c r="G128" s="3" t="s">
        <v>146</v>
      </c>
      <c r="H128" s="3" t="s">
        <v>151</v>
      </c>
      <c r="I128" s="3" t="s">
        <v>154</v>
      </c>
      <c r="J128" s="13" t="s">
        <v>135</v>
      </c>
    </row>
    <row r="129" spans="1:10" ht="15" x14ac:dyDescent="0.25">
      <c r="A129" s="5" t="s">
        <v>63</v>
      </c>
      <c r="B129" s="6" t="s">
        <v>50</v>
      </c>
      <c r="C12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666.47687106283865</v>
      </c>
      <c r="D129" s="7" t="s">
        <v>135</v>
      </c>
      <c r="E129" s="3" t="s">
        <v>128</v>
      </c>
      <c r="F129" s="13" t="s">
        <v>136</v>
      </c>
      <c r="G129" s="3" t="s">
        <v>144</v>
      </c>
      <c r="H129" s="3" t="s">
        <v>150</v>
      </c>
      <c r="I129" s="3" t="s">
        <v>153</v>
      </c>
      <c r="J129" s="13" t="s">
        <v>135</v>
      </c>
    </row>
    <row r="130" spans="1:10" ht="15" x14ac:dyDescent="0.25">
      <c r="A130" s="8" t="s">
        <v>63</v>
      </c>
      <c r="B130" s="9" t="s">
        <v>70</v>
      </c>
      <c r="C13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3367.025951037072</v>
      </c>
      <c r="D130" s="7" t="s">
        <v>135</v>
      </c>
      <c r="E130" s="3" t="s">
        <v>128</v>
      </c>
      <c r="F130" s="13" t="s">
        <v>136</v>
      </c>
      <c r="G130" s="3" t="s">
        <v>146</v>
      </c>
      <c r="H130" s="3" t="s">
        <v>152</v>
      </c>
      <c r="I130" s="3" t="s">
        <v>154</v>
      </c>
      <c r="J130" s="13" t="s">
        <v>135</v>
      </c>
    </row>
    <row r="131" spans="1:10" ht="15" x14ac:dyDescent="0.25">
      <c r="A131" s="5" t="s">
        <v>64</v>
      </c>
      <c r="B131" s="6" t="s">
        <v>50</v>
      </c>
      <c r="C13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4545.5404806223751</v>
      </c>
      <c r="D131" s="7" t="s">
        <v>135</v>
      </c>
      <c r="E131" s="3" t="s">
        <v>128</v>
      </c>
      <c r="F131" s="13" t="s">
        <v>136</v>
      </c>
      <c r="G131" s="3" t="s">
        <v>144</v>
      </c>
      <c r="H131" s="3" t="s">
        <v>152</v>
      </c>
      <c r="I131" s="3" t="s">
        <v>154</v>
      </c>
      <c r="J131" s="13" t="s">
        <v>135</v>
      </c>
    </row>
    <row r="132" spans="1:10" ht="15" x14ac:dyDescent="0.25">
      <c r="A132" s="8" t="s">
        <v>64</v>
      </c>
      <c r="B132" s="9" t="s">
        <v>104</v>
      </c>
      <c r="C13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1113.475408847718</v>
      </c>
      <c r="D132" s="7" t="s">
        <v>135</v>
      </c>
      <c r="E132" s="3" t="s">
        <v>128</v>
      </c>
      <c r="F132" s="13" t="s">
        <v>136</v>
      </c>
      <c r="G132" s="3" t="s">
        <v>146</v>
      </c>
      <c r="H132" s="3" t="s">
        <v>152</v>
      </c>
      <c r="I132" s="3" t="s">
        <v>154</v>
      </c>
      <c r="J132" s="13" t="s">
        <v>135</v>
      </c>
    </row>
    <row r="133" spans="1:10" ht="15" x14ac:dyDescent="0.25">
      <c r="A133" s="5" t="s">
        <v>65</v>
      </c>
      <c r="B133" s="6" t="s">
        <v>71</v>
      </c>
      <c r="C13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667.08500157521291</v>
      </c>
      <c r="D133" s="7" t="s">
        <v>136</v>
      </c>
      <c r="E133" s="3" t="s">
        <v>133</v>
      </c>
      <c r="F133" s="13" t="s">
        <v>136</v>
      </c>
      <c r="G133" s="3" t="s">
        <v>146</v>
      </c>
      <c r="H133" s="3" t="s">
        <v>152</v>
      </c>
      <c r="I133" s="3" t="s">
        <v>154</v>
      </c>
      <c r="J133" s="13" t="s">
        <v>135</v>
      </c>
    </row>
    <row r="134" spans="1:10" ht="15" x14ac:dyDescent="0.25">
      <c r="A134" s="8" t="s">
        <v>65</v>
      </c>
      <c r="B134" s="9" t="s">
        <v>26</v>
      </c>
      <c r="C13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820.49040374536617</v>
      </c>
      <c r="D134" s="7" t="s">
        <v>136</v>
      </c>
      <c r="E134" s="3" t="s">
        <v>133</v>
      </c>
      <c r="F134" s="13" t="s">
        <v>136</v>
      </c>
      <c r="G134" s="3" t="s">
        <v>146</v>
      </c>
      <c r="H134" s="3" t="s">
        <v>152</v>
      </c>
      <c r="I134" s="3" t="s">
        <v>154</v>
      </c>
      <c r="J134" s="13" t="s">
        <v>135</v>
      </c>
    </row>
    <row r="135" spans="1:10" ht="15" x14ac:dyDescent="0.25">
      <c r="A135" s="5" t="s">
        <v>66</v>
      </c>
      <c r="B135" s="6" t="s">
        <v>14</v>
      </c>
      <c r="C13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2443.6437705400804</v>
      </c>
      <c r="D135" s="7" t="s">
        <v>136</v>
      </c>
      <c r="E135" s="3" t="s">
        <v>133</v>
      </c>
      <c r="F135" s="13" t="s">
        <v>136</v>
      </c>
      <c r="G135" s="3" t="s">
        <v>146</v>
      </c>
      <c r="H135" s="3" t="s">
        <v>152</v>
      </c>
      <c r="I135" s="3" t="s">
        <v>154</v>
      </c>
      <c r="J135" s="13" t="s">
        <v>135</v>
      </c>
    </row>
    <row r="136" spans="1:10" ht="15" x14ac:dyDescent="0.25">
      <c r="A136" s="8" t="s">
        <v>66</v>
      </c>
      <c r="B136" s="9" t="s">
        <v>25</v>
      </c>
      <c r="C13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1623.4171651619981</v>
      </c>
      <c r="D136" s="7" t="s">
        <v>136</v>
      </c>
      <c r="E136" s="3" t="s">
        <v>133</v>
      </c>
      <c r="F136" s="13" t="s">
        <v>136</v>
      </c>
      <c r="G136" s="3" t="s">
        <v>146</v>
      </c>
      <c r="H136" s="3" t="s">
        <v>152</v>
      </c>
      <c r="I136" s="3" t="s">
        <v>154</v>
      </c>
      <c r="J136" s="13" t="s">
        <v>135</v>
      </c>
    </row>
    <row r="137" spans="1:10" ht="15" x14ac:dyDescent="0.25">
      <c r="A137" s="5" t="s">
        <v>67</v>
      </c>
      <c r="B137" s="6" t="s">
        <v>24</v>
      </c>
      <c r="C13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4243.0830161531794</v>
      </c>
      <c r="D137" s="7" t="s">
        <v>135</v>
      </c>
      <c r="E137" s="3" t="s">
        <v>128</v>
      </c>
      <c r="F137" s="13" t="s">
        <v>135</v>
      </c>
      <c r="G137" s="3" t="s">
        <v>144</v>
      </c>
      <c r="H137" s="3" t="s">
        <v>150</v>
      </c>
      <c r="I137" s="3" t="s">
        <v>153</v>
      </c>
      <c r="J137" s="13" t="s">
        <v>135</v>
      </c>
    </row>
    <row r="138" spans="1:10" ht="15" x14ac:dyDescent="0.25">
      <c r="A138" s="8" t="s">
        <v>67</v>
      </c>
      <c r="B138" s="9" t="s">
        <v>39</v>
      </c>
      <c r="C13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3862.0439641943326</v>
      </c>
      <c r="D138" s="7" t="s">
        <v>135</v>
      </c>
      <c r="E138" s="3" t="s">
        <v>128</v>
      </c>
      <c r="F138" s="13" t="s">
        <v>135</v>
      </c>
      <c r="G138" s="3" t="s">
        <v>144</v>
      </c>
      <c r="H138" s="3" t="s">
        <v>150</v>
      </c>
      <c r="I138" s="3" t="s">
        <v>153</v>
      </c>
      <c r="J138" s="13" t="s">
        <v>135</v>
      </c>
    </row>
    <row r="139" spans="1:10" ht="15" x14ac:dyDescent="0.25">
      <c r="A139" s="5" t="s">
        <v>68</v>
      </c>
      <c r="B139" s="6" t="s">
        <v>10</v>
      </c>
      <c r="C13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66631.7364186911</v>
      </c>
      <c r="D139" s="7" t="s">
        <v>136</v>
      </c>
      <c r="E139" s="3" t="s">
        <v>133</v>
      </c>
      <c r="F139" s="13" t="s">
        <v>136</v>
      </c>
      <c r="G139" s="3" t="s">
        <v>144</v>
      </c>
      <c r="H139" s="3" t="s">
        <v>151</v>
      </c>
      <c r="I139" s="3" t="s">
        <v>153</v>
      </c>
      <c r="J139" s="13" t="s">
        <v>135</v>
      </c>
    </row>
    <row r="140" spans="1:10" ht="15" x14ac:dyDescent="0.25">
      <c r="A140" s="8" t="s">
        <v>68</v>
      </c>
      <c r="B140" s="9" t="s">
        <v>31</v>
      </c>
      <c r="C14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31733.457015862015</v>
      </c>
      <c r="D140" s="7" t="s">
        <v>136</v>
      </c>
      <c r="E140" s="3" t="s">
        <v>133</v>
      </c>
      <c r="F140" s="13" t="s">
        <v>136</v>
      </c>
      <c r="G140" s="3" t="s">
        <v>144</v>
      </c>
      <c r="H140" s="3" t="s">
        <v>150</v>
      </c>
      <c r="I140" s="3" t="s">
        <v>153</v>
      </c>
      <c r="J140" s="13" t="s">
        <v>135</v>
      </c>
    </row>
    <row r="141" spans="1:10" ht="15" x14ac:dyDescent="0.25">
      <c r="A141" s="5" t="s">
        <v>68</v>
      </c>
      <c r="B141" s="6" t="s">
        <v>40</v>
      </c>
      <c r="C14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67770.704794767982</v>
      </c>
      <c r="D141" s="7" t="s">
        <v>136</v>
      </c>
      <c r="E141" s="3" t="s">
        <v>133</v>
      </c>
      <c r="F141" s="13" t="s">
        <v>136</v>
      </c>
      <c r="G141" s="3" t="s">
        <v>144</v>
      </c>
      <c r="H141" s="3" t="s">
        <v>151</v>
      </c>
      <c r="I141" s="3" t="s">
        <v>153</v>
      </c>
      <c r="J141" s="13" t="s">
        <v>135</v>
      </c>
    </row>
    <row r="142" spans="1:10" ht="15" x14ac:dyDescent="0.25">
      <c r="A142" s="8" t="s">
        <v>68</v>
      </c>
      <c r="B142" s="9" t="s">
        <v>78</v>
      </c>
      <c r="C14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48945.144297818573</v>
      </c>
      <c r="D142" s="7" t="s">
        <v>136</v>
      </c>
      <c r="E142" s="3" t="s">
        <v>133</v>
      </c>
      <c r="F142" s="13" t="s">
        <v>135</v>
      </c>
      <c r="G142" s="3" t="s">
        <v>144</v>
      </c>
      <c r="H142" s="3" t="s">
        <v>149</v>
      </c>
      <c r="I142" s="3" t="s">
        <v>157</v>
      </c>
      <c r="J142" s="13" t="s">
        <v>136</v>
      </c>
    </row>
    <row r="143" spans="1:10" ht="15" x14ac:dyDescent="0.25">
      <c r="A143" s="5" t="s">
        <v>69</v>
      </c>
      <c r="B143" s="6" t="s">
        <v>81</v>
      </c>
      <c r="C14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2260.3385864039569</v>
      </c>
      <c r="D143" s="7" t="s">
        <v>135</v>
      </c>
      <c r="E143" s="3" t="s">
        <v>128</v>
      </c>
      <c r="F143" s="13" t="s">
        <v>136</v>
      </c>
      <c r="G143" s="3" t="s">
        <v>145</v>
      </c>
      <c r="H143" s="3" t="s">
        <v>150</v>
      </c>
      <c r="I143" s="3" t="s">
        <v>153</v>
      </c>
      <c r="J143" s="13" t="s">
        <v>135</v>
      </c>
    </row>
    <row r="144" spans="1:10" ht="15" x14ac:dyDescent="0.25">
      <c r="A144" s="8" t="s">
        <v>70</v>
      </c>
      <c r="B144" s="9" t="s">
        <v>28</v>
      </c>
      <c r="C14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11233.071051961189</v>
      </c>
      <c r="D144" s="7" t="s">
        <v>135</v>
      </c>
      <c r="E144" s="3" t="s">
        <v>128</v>
      </c>
      <c r="F144" s="13" t="s">
        <v>136</v>
      </c>
      <c r="G144" s="3" t="s">
        <v>146</v>
      </c>
      <c r="H144" s="3" t="s">
        <v>152</v>
      </c>
      <c r="I144" s="3" t="s">
        <v>154</v>
      </c>
      <c r="J144" s="13" t="s">
        <v>135</v>
      </c>
    </row>
    <row r="145" spans="1:10" ht="15" x14ac:dyDescent="0.25">
      <c r="A145" s="5" t="s">
        <v>71</v>
      </c>
      <c r="B145" s="6" t="s">
        <v>101</v>
      </c>
      <c r="C14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13688.037475608025</v>
      </c>
      <c r="D145" s="7" t="s">
        <v>136</v>
      </c>
      <c r="E145" s="3" t="s">
        <v>133</v>
      </c>
      <c r="F145" s="13" t="s">
        <v>136</v>
      </c>
      <c r="G145" s="3" t="s">
        <v>146</v>
      </c>
      <c r="H145" s="3" t="s">
        <v>152</v>
      </c>
      <c r="I145" s="3" t="s">
        <v>154</v>
      </c>
      <c r="J145" s="13" t="s">
        <v>135</v>
      </c>
    </row>
    <row r="146" spans="1:10" ht="15" x14ac:dyDescent="0.25">
      <c r="A146" s="8" t="s">
        <v>72</v>
      </c>
      <c r="B146" s="9" t="s">
        <v>35</v>
      </c>
      <c r="C14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1589.3069015872893</v>
      </c>
      <c r="D146" s="7" t="s">
        <v>135</v>
      </c>
      <c r="E146" s="3" t="s">
        <v>128</v>
      </c>
      <c r="F146" s="13" t="s">
        <v>135</v>
      </c>
      <c r="G146" s="3" t="s">
        <v>144</v>
      </c>
      <c r="H146" s="3" t="s">
        <v>150</v>
      </c>
      <c r="I146" s="3" t="s">
        <v>153</v>
      </c>
      <c r="J146" s="13" t="s">
        <v>135</v>
      </c>
    </row>
    <row r="147" spans="1:10" ht="15" x14ac:dyDescent="0.25">
      <c r="A147" s="5" t="s">
        <v>72</v>
      </c>
      <c r="B147" s="6" t="s">
        <v>13</v>
      </c>
      <c r="C14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12475.028900459785</v>
      </c>
      <c r="D147" s="7" t="s">
        <v>135</v>
      </c>
      <c r="E147" s="3" t="s">
        <v>128</v>
      </c>
      <c r="F147" s="13" t="s">
        <v>135</v>
      </c>
      <c r="G147" s="3" t="s">
        <v>144</v>
      </c>
      <c r="H147" s="3" t="s">
        <v>150</v>
      </c>
      <c r="I147" s="3" t="s">
        <v>153</v>
      </c>
      <c r="J147" s="13" t="s">
        <v>135</v>
      </c>
    </row>
    <row r="148" spans="1:10" ht="15" x14ac:dyDescent="0.25">
      <c r="A148" s="8" t="s">
        <v>72</v>
      </c>
      <c r="B148" s="9" t="s">
        <v>42</v>
      </c>
      <c r="C14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1007.181330070232</v>
      </c>
      <c r="D148" s="7" t="s">
        <v>135</v>
      </c>
      <c r="E148" s="3" t="s">
        <v>128</v>
      </c>
      <c r="F148" s="13" t="s">
        <v>135</v>
      </c>
      <c r="G148" s="3" t="s">
        <v>146</v>
      </c>
      <c r="H148" s="3" t="s">
        <v>150</v>
      </c>
      <c r="I148" s="3" t="s">
        <v>153</v>
      </c>
      <c r="J148" s="13" t="s">
        <v>135</v>
      </c>
    </row>
    <row r="149" spans="1:10" ht="15" x14ac:dyDescent="0.25">
      <c r="A149" s="5" t="s">
        <v>73</v>
      </c>
      <c r="B149" s="6" t="s">
        <v>5</v>
      </c>
      <c r="C14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273.77787011464915</v>
      </c>
      <c r="D149" s="7" t="s">
        <v>136</v>
      </c>
      <c r="E149" s="3" t="s">
        <v>137</v>
      </c>
      <c r="F149" s="13" t="s">
        <v>136</v>
      </c>
      <c r="G149" s="3" t="s">
        <v>144</v>
      </c>
      <c r="H149" s="3" t="s">
        <v>151</v>
      </c>
      <c r="I149" s="3" t="s">
        <v>153</v>
      </c>
      <c r="J149" s="13" t="s">
        <v>135</v>
      </c>
    </row>
    <row r="150" spans="1:10" ht="15" x14ac:dyDescent="0.25">
      <c r="A150" s="8" t="s">
        <v>73</v>
      </c>
      <c r="B150" s="9" t="s">
        <v>54</v>
      </c>
      <c r="C15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36090.691638725941</v>
      </c>
      <c r="D150" s="7" t="s">
        <v>136</v>
      </c>
      <c r="E150" s="3" t="s">
        <v>137</v>
      </c>
      <c r="F150" s="13" t="s">
        <v>136</v>
      </c>
      <c r="G150" s="3" t="s">
        <v>146</v>
      </c>
      <c r="H150" s="3" t="s">
        <v>151</v>
      </c>
      <c r="I150" s="3" t="s">
        <v>153</v>
      </c>
      <c r="J150" s="13" t="s">
        <v>135</v>
      </c>
    </row>
    <row r="151" spans="1:10" ht="15" x14ac:dyDescent="0.25">
      <c r="A151" s="5" t="s">
        <v>74</v>
      </c>
      <c r="B151" s="6" t="s">
        <v>37</v>
      </c>
      <c r="C15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4084.1462243662877</v>
      </c>
      <c r="D151" s="7" t="s">
        <v>136</v>
      </c>
      <c r="E151" s="3" t="s">
        <v>137</v>
      </c>
      <c r="F151" s="13" t="s">
        <v>136</v>
      </c>
      <c r="G151" s="3" t="s">
        <v>146</v>
      </c>
      <c r="H151" s="3" t="s">
        <v>152</v>
      </c>
      <c r="I151" s="3" t="s">
        <v>154</v>
      </c>
      <c r="J151" s="13" t="s">
        <v>135</v>
      </c>
    </row>
    <row r="152" spans="1:10" ht="15" x14ac:dyDescent="0.25">
      <c r="A152" s="8" t="s">
        <v>75</v>
      </c>
      <c r="B152" s="9" t="s">
        <v>99</v>
      </c>
      <c r="C15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1059.5777868538862</v>
      </c>
      <c r="D152" s="7" t="s">
        <v>136</v>
      </c>
      <c r="E152" s="3" t="s">
        <v>137</v>
      </c>
      <c r="F152" s="13" t="s">
        <v>136</v>
      </c>
      <c r="G152" s="3" t="s">
        <v>144</v>
      </c>
      <c r="H152" s="3" t="s">
        <v>152</v>
      </c>
      <c r="I152" s="3" t="s">
        <v>154</v>
      </c>
      <c r="J152" s="13" t="s">
        <v>135</v>
      </c>
    </row>
    <row r="153" spans="1:10" ht="15" x14ac:dyDescent="0.25">
      <c r="A153" s="5" t="s">
        <v>76</v>
      </c>
      <c r="B153" s="6" t="s">
        <v>11</v>
      </c>
      <c r="C15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76570.571194171294</v>
      </c>
      <c r="D153" s="7" t="s">
        <v>135</v>
      </c>
      <c r="E153" s="3" t="s">
        <v>128</v>
      </c>
      <c r="F153" s="13" t="s">
        <v>136</v>
      </c>
      <c r="G153" s="3" t="s">
        <v>145</v>
      </c>
      <c r="H153" s="3" t="s">
        <v>152</v>
      </c>
      <c r="I153" s="3" t="s">
        <v>155</v>
      </c>
      <c r="J153" s="13" t="s">
        <v>135</v>
      </c>
    </row>
    <row r="154" spans="1:10" ht="15" x14ac:dyDescent="0.25">
      <c r="A154" s="8" t="s">
        <v>76</v>
      </c>
      <c r="B154" s="9" t="s">
        <v>9</v>
      </c>
      <c r="C15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8343.5242146586916</v>
      </c>
      <c r="D154" s="7" t="s">
        <v>135</v>
      </c>
      <c r="E154" s="3" t="s">
        <v>128</v>
      </c>
      <c r="F154" s="13" t="s">
        <v>136</v>
      </c>
      <c r="G154" s="3" t="s">
        <v>145</v>
      </c>
      <c r="H154" s="3" t="s">
        <v>152</v>
      </c>
      <c r="I154" s="3" t="s">
        <v>155</v>
      </c>
      <c r="J154" s="13" t="s">
        <v>135</v>
      </c>
    </row>
    <row r="155" spans="1:10" ht="15" x14ac:dyDescent="0.25">
      <c r="A155" s="5" t="s">
        <v>77</v>
      </c>
      <c r="B155" s="6" t="s">
        <v>16</v>
      </c>
      <c r="C15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12083.42554104806</v>
      </c>
      <c r="D155" s="7" t="s">
        <v>135</v>
      </c>
      <c r="E155" s="3" t="s">
        <v>128</v>
      </c>
      <c r="F155" s="13" t="s">
        <v>136</v>
      </c>
      <c r="G155" s="3" t="s">
        <v>144</v>
      </c>
      <c r="H155" s="3" t="s">
        <v>151</v>
      </c>
      <c r="I155" s="3" t="s">
        <v>153</v>
      </c>
      <c r="J155" s="13" t="s">
        <v>135</v>
      </c>
    </row>
    <row r="156" spans="1:10" ht="15" x14ac:dyDescent="0.25">
      <c r="A156" s="8" t="s">
        <v>77</v>
      </c>
      <c r="B156" s="9" t="s">
        <v>23</v>
      </c>
      <c r="C15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1076.6291012811726</v>
      </c>
      <c r="D156" s="7" t="s">
        <v>135</v>
      </c>
      <c r="E156" s="3" t="s">
        <v>128</v>
      </c>
      <c r="F156" s="13" t="s">
        <v>136</v>
      </c>
      <c r="G156" s="3" t="s">
        <v>146</v>
      </c>
      <c r="H156" s="3" t="s">
        <v>152</v>
      </c>
      <c r="I156" s="3" t="s">
        <v>154</v>
      </c>
      <c r="J156" s="13" t="s">
        <v>135</v>
      </c>
    </row>
    <row r="157" spans="1:10" ht="15" x14ac:dyDescent="0.25">
      <c r="A157" s="5" t="s">
        <v>78</v>
      </c>
      <c r="B157" s="6" t="s">
        <v>68</v>
      </c>
      <c r="C15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48945.144297818573</v>
      </c>
      <c r="D157" s="7" t="s">
        <v>136</v>
      </c>
      <c r="E157" s="3" t="s">
        <v>133</v>
      </c>
      <c r="F157" s="13" t="s">
        <v>135</v>
      </c>
      <c r="G157" s="3" t="s">
        <v>144</v>
      </c>
      <c r="H157" s="3" t="s">
        <v>149</v>
      </c>
      <c r="I157" s="3" t="s">
        <v>157</v>
      </c>
      <c r="J157" s="13" t="s">
        <v>136</v>
      </c>
    </row>
    <row r="158" spans="1:10" ht="15" x14ac:dyDescent="0.25">
      <c r="A158" s="8" t="s">
        <v>78</v>
      </c>
      <c r="B158" s="9" t="s">
        <v>98</v>
      </c>
      <c r="C15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12714.503577760584</v>
      </c>
      <c r="D158" s="7" t="s">
        <v>135</v>
      </c>
      <c r="E158" s="3" t="s">
        <v>128</v>
      </c>
      <c r="F158" s="13" t="s">
        <v>136</v>
      </c>
      <c r="G158" s="3" t="s">
        <v>144</v>
      </c>
      <c r="H158" s="3" t="s">
        <v>150</v>
      </c>
      <c r="I158" s="3" t="s">
        <v>154</v>
      </c>
      <c r="J158" s="13" t="s">
        <v>135</v>
      </c>
    </row>
    <row r="159" spans="1:10" ht="15" x14ac:dyDescent="0.25">
      <c r="A159" s="5" t="s">
        <v>78</v>
      </c>
      <c r="B159" s="6" t="s">
        <v>96</v>
      </c>
      <c r="C15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2136.0924825240068</v>
      </c>
      <c r="D159" s="7" t="s">
        <v>135</v>
      </c>
      <c r="E159" s="3" t="s">
        <v>128</v>
      </c>
      <c r="F159" s="13" t="s">
        <v>136</v>
      </c>
      <c r="G159" s="3" t="s">
        <v>144</v>
      </c>
      <c r="H159" s="3" t="s">
        <v>150</v>
      </c>
      <c r="I159" s="3" t="s">
        <v>154</v>
      </c>
      <c r="J159" s="13" t="s">
        <v>135</v>
      </c>
    </row>
    <row r="160" spans="1:10" ht="15" x14ac:dyDescent="0.25">
      <c r="A160" s="8" t="s">
        <v>79</v>
      </c>
      <c r="B160" s="9" t="s">
        <v>3</v>
      </c>
      <c r="C16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53538.013839164028</v>
      </c>
      <c r="D160" s="7" t="s">
        <v>135</v>
      </c>
      <c r="E160" s="3" t="s">
        <v>128</v>
      </c>
      <c r="F160" s="13" t="s">
        <v>136</v>
      </c>
      <c r="G160" s="3" t="s">
        <v>144</v>
      </c>
      <c r="H160" s="3" t="s">
        <v>151</v>
      </c>
      <c r="I160" s="3" t="s">
        <v>153</v>
      </c>
      <c r="J160" s="13" t="s">
        <v>135</v>
      </c>
    </row>
    <row r="161" spans="1:10" ht="15" x14ac:dyDescent="0.25">
      <c r="A161" s="5" t="s">
        <v>79</v>
      </c>
      <c r="B161" s="6" t="s">
        <v>19</v>
      </c>
      <c r="C16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27018.543774455255</v>
      </c>
      <c r="D161" s="7" t="s">
        <v>135</v>
      </c>
      <c r="E161" s="3" t="s">
        <v>128</v>
      </c>
      <c r="F161" s="13" t="s">
        <v>135</v>
      </c>
      <c r="G161" s="3" t="s">
        <v>144</v>
      </c>
      <c r="H161" s="3" t="s">
        <v>149</v>
      </c>
      <c r="I161" s="3" t="s">
        <v>153</v>
      </c>
      <c r="J161" s="13" t="s">
        <v>135</v>
      </c>
    </row>
    <row r="162" spans="1:10" ht="15" x14ac:dyDescent="0.25">
      <c r="A162" s="8" t="s">
        <v>80</v>
      </c>
      <c r="B162" s="9" t="s">
        <v>38</v>
      </c>
      <c r="C16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4888.20484895352</v>
      </c>
      <c r="D162" s="7" t="s">
        <v>136</v>
      </c>
      <c r="E162" s="3" t="s">
        <v>131</v>
      </c>
      <c r="F162" s="13" t="s">
        <v>136</v>
      </c>
      <c r="G162" s="3" t="s">
        <v>146</v>
      </c>
      <c r="H162" s="3" t="s">
        <v>152</v>
      </c>
      <c r="I162" s="3" t="s">
        <v>154</v>
      </c>
      <c r="J162" s="13" t="s">
        <v>135</v>
      </c>
    </row>
    <row r="163" spans="1:10" ht="15" x14ac:dyDescent="0.25">
      <c r="A163" s="5" t="s">
        <v>80</v>
      </c>
      <c r="B163" s="6" t="s">
        <v>95</v>
      </c>
      <c r="C16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1657.5760957601021</v>
      </c>
      <c r="D163" s="7" t="s">
        <v>135</v>
      </c>
      <c r="E163" s="3" t="s">
        <v>131</v>
      </c>
      <c r="F163" s="13" t="s">
        <v>136</v>
      </c>
      <c r="G163" s="3" t="s">
        <v>146</v>
      </c>
      <c r="H163" s="3" t="s">
        <v>150</v>
      </c>
      <c r="I163" s="3" t="s">
        <v>153</v>
      </c>
      <c r="J163" s="13" t="s">
        <v>135</v>
      </c>
    </row>
    <row r="164" spans="1:10" ht="15" x14ac:dyDescent="0.25">
      <c r="A164" s="8" t="s">
        <v>81</v>
      </c>
      <c r="B164" s="9" t="s">
        <v>33</v>
      </c>
      <c r="C16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6308.9161267976024</v>
      </c>
      <c r="D164" s="7" t="s">
        <v>135</v>
      </c>
      <c r="E164" s="3" t="s">
        <v>128</v>
      </c>
      <c r="F164" s="13" t="s">
        <v>136</v>
      </c>
      <c r="G164" s="3" t="s">
        <v>146</v>
      </c>
      <c r="H164" s="3" t="s">
        <v>151</v>
      </c>
      <c r="I164" s="3" t="s">
        <v>154</v>
      </c>
      <c r="J164" s="13" t="s">
        <v>135</v>
      </c>
    </row>
    <row r="165" spans="1:10" ht="15" x14ac:dyDescent="0.25">
      <c r="A165" s="5" t="s">
        <v>81</v>
      </c>
      <c r="B165" s="6" t="s">
        <v>40</v>
      </c>
      <c r="C16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6361.5366421146537</v>
      </c>
      <c r="D165" s="7" t="s">
        <v>135</v>
      </c>
      <c r="E165" s="3" t="s">
        <v>128</v>
      </c>
      <c r="F165" s="13" t="s">
        <v>136</v>
      </c>
      <c r="G165" s="3" t="s">
        <v>146</v>
      </c>
      <c r="H165" s="3" t="s">
        <v>151</v>
      </c>
      <c r="I165" s="3" t="s">
        <v>153</v>
      </c>
      <c r="J165" s="13" t="s">
        <v>135</v>
      </c>
    </row>
    <row r="166" spans="1:10" ht="15" x14ac:dyDescent="0.25">
      <c r="A166" s="8" t="s">
        <v>82</v>
      </c>
      <c r="B166" s="9" t="s">
        <v>13</v>
      </c>
      <c r="C16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11653.282779424673</v>
      </c>
      <c r="D166" s="7" t="s">
        <v>135</v>
      </c>
      <c r="E166" s="3" t="s">
        <v>128</v>
      </c>
      <c r="F166" s="13" t="s">
        <v>135</v>
      </c>
      <c r="G166" s="3" t="s">
        <v>144</v>
      </c>
      <c r="H166" s="3" t="s">
        <v>150</v>
      </c>
      <c r="I166" s="3" t="s">
        <v>153</v>
      </c>
      <c r="J166" s="13" t="s">
        <v>135</v>
      </c>
    </row>
    <row r="167" spans="1:10" ht="15" x14ac:dyDescent="0.25">
      <c r="A167" s="5" t="s">
        <v>82</v>
      </c>
      <c r="B167" s="6" t="s">
        <v>56</v>
      </c>
      <c r="C16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86383.470758135561</v>
      </c>
      <c r="D167" s="7" t="s">
        <v>135</v>
      </c>
      <c r="E167" s="3" t="s">
        <v>128</v>
      </c>
      <c r="F167" s="13" t="s">
        <v>135</v>
      </c>
      <c r="G167" s="3" t="s">
        <v>144</v>
      </c>
      <c r="H167" s="3" t="s">
        <v>150</v>
      </c>
      <c r="I167" s="3" t="s">
        <v>153</v>
      </c>
      <c r="J167" s="13" t="s">
        <v>135</v>
      </c>
    </row>
    <row r="168" spans="1:10" ht="15" x14ac:dyDescent="0.25">
      <c r="A168" s="8" t="s">
        <v>82</v>
      </c>
      <c r="B168" s="9" t="s">
        <v>86</v>
      </c>
      <c r="C16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43328.368881743772</v>
      </c>
      <c r="D168" s="7" t="s">
        <v>135</v>
      </c>
      <c r="E168" s="3" t="s">
        <v>128</v>
      </c>
      <c r="F168" s="13" t="s">
        <v>135</v>
      </c>
      <c r="G168" s="3" t="s">
        <v>144</v>
      </c>
      <c r="H168" s="3" t="s">
        <v>150</v>
      </c>
      <c r="I168" s="3" t="s">
        <v>157</v>
      </c>
      <c r="J168" s="13" t="s">
        <v>136</v>
      </c>
    </row>
    <row r="169" spans="1:10" ht="15" x14ac:dyDescent="0.25">
      <c r="A169" s="5" t="s">
        <v>83</v>
      </c>
      <c r="B169" s="6" t="s">
        <v>97</v>
      </c>
      <c r="C16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17774.01517962298</v>
      </c>
      <c r="D169" s="7" t="s">
        <v>136</v>
      </c>
      <c r="E169" s="3" t="s">
        <v>131</v>
      </c>
      <c r="F169" s="13" t="s">
        <v>136</v>
      </c>
      <c r="G169" s="3" t="s">
        <v>146</v>
      </c>
      <c r="H169" s="3" t="s">
        <v>150</v>
      </c>
      <c r="I169" s="3" t="s">
        <v>153</v>
      </c>
      <c r="J169" s="13" t="s">
        <v>135</v>
      </c>
    </row>
    <row r="170" spans="1:10" ht="15" x14ac:dyDescent="0.25">
      <c r="A170" s="8" t="s">
        <v>83</v>
      </c>
      <c r="B170" s="9" t="s">
        <v>80</v>
      </c>
      <c r="C17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2529.1360143842048</v>
      </c>
      <c r="D170" s="7" t="s">
        <v>136</v>
      </c>
      <c r="E170" s="3" t="s">
        <v>131</v>
      </c>
      <c r="F170" s="13" t="s">
        <v>136</v>
      </c>
      <c r="G170" s="3" t="s">
        <v>145</v>
      </c>
      <c r="H170" s="3" t="s">
        <v>152</v>
      </c>
      <c r="I170" s="3" t="s">
        <v>154</v>
      </c>
      <c r="J170" s="13" t="s">
        <v>135</v>
      </c>
    </row>
    <row r="171" spans="1:10" ht="15" x14ac:dyDescent="0.25">
      <c r="A171" s="5" t="s">
        <v>84</v>
      </c>
      <c r="B171" s="6" t="s">
        <v>62</v>
      </c>
      <c r="C17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17244.164879876</v>
      </c>
      <c r="D171" s="7" t="s">
        <v>136</v>
      </c>
      <c r="E171" s="3" t="s">
        <v>133</v>
      </c>
      <c r="F171" s="13" t="s">
        <v>136</v>
      </c>
      <c r="G171" s="3" t="s">
        <v>146</v>
      </c>
      <c r="H171" s="3" t="s">
        <v>152</v>
      </c>
      <c r="I171" s="3" t="s">
        <v>154</v>
      </c>
      <c r="J171" s="13" t="s">
        <v>135</v>
      </c>
    </row>
    <row r="172" spans="1:10" ht="15" x14ac:dyDescent="0.25">
      <c r="A172" s="8" t="s">
        <v>85</v>
      </c>
      <c r="B172" s="9" t="s">
        <v>64</v>
      </c>
      <c r="C17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16678.786894199297</v>
      </c>
      <c r="D172" s="7" t="s">
        <v>135</v>
      </c>
      <c r="E172" s="3" t="s">
        <v>128</v>
      </c>
      <c r="F172" s="13" t="s">
        <v>136</v>
      </c>
      <c r="G172" s="3" t="s">
        <v>146</v>
      </c>
      <c r="H172" s="3" t="s">
        <v>152</v>
      </c>
      <c r="I172" s="3" t="s">
        <v>154</v>
      </c>
      <c r="J172" s="13" t="s">
        <v>135</v>
      </c>
    </row>
    <row r="173" spans="1:10" ht="15" x14ac:dyDescent="0.25">
      <c r="A173" s="5" t="s">
        <v>86</v>
      </c>
      <c r="B173" s="6" t="s">
        <v>43</v>
      </c>
      <c r="C17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47967.487820324342</v>
      </c>
      <c r="D173" s="7" t="s">
        <v>136</v>
      </c>
      <c r="E173" s="3" t="s">
        <v>131</v>
      </c>
      <c r="F173" s="13" t="s">
        <v>136</v>
      </c>
      <c r="G173" s="3" t="s">
        <v>144</v>
      </c>
      <c r="H173" s="3" t="s">
        <v>151</v>
      </c>
      <c r="I173" s="3" t="s">
        <v>154</v>
      </c>
      <c r="J173" s="13" t="s">
        <v>135</v>
      </c>
    </row>
    <row r="174" spans="1:10" ht="15" x14ac:dyDescent="0.25">
      <c r="A174" s="8" t="s">
        <v>86</v>
      </c>
      <c r="B174" s="9" t="s">
        <v>82</v>
      </c>
      <c r="C17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43328.368881743772</v>
      </c>
      <c r="D174" s="7" t="s">
        <v>135</v>
      </c>
      <c r="E174" s="3" t="s">
        <v>128</v>
      </c>
      <c r="F174" s="13" t="s">
        <v>135</v>
      </c>
      <c r="G174" s="3" t="s">
        <v>144</v>
      </c>
      <c r="H174" s="3" t="s">
        <v>150</v>
      </c>
      <c r="I174" s="3" t="s">
        <v>157</v>
      </c>
      <c r="J174" s="13" t="s">
        <v>136</v>
      </c>
    </row>
    <row r="175" spans="1:10" ht="15" x14ac:dyDescent="0.25">
      <c r="A175" s="5" t="s">
        <v>86</v>
      </c>
      <c r="B175" s="6" t="s">
        <v>59</v>
      </c>
      <c r="C17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29648.366974350483</v>
      </c>
      <c r="D175" s="7" t="s">
        <v>136</v>
      </c>
      <c r="E175" s="3" t="s">
        <v>131</v>
      </c>
      <c r="F175" s="13" t="s">
        <v>136</v>
      </c>
      <c r="G175" s="3" t="s">
        <v>144</v>
      </c>
      <c r="H175" s="3" t="s">
        <v>151</v>
      </c>
      <c r="I175" s="3" t="s">
        <v>154</v>
      </c>
      <c r="J175" s="13" t="s">
        <v>135</v>
      </c>
    </row>
    <row r="176" spans="1:10" ht="15" x14ac:dyDescent="0.25">
      <c r="A176" s="8" t="s">
        <v>87</v>
      </c>
      <c r="B176" s="9" t="s">
        <v>98</v>
      </c>
      <c r="C17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7980.50814173239</v>
      </c>
      <c r="D176" s="7" t="s">
        <v>135</v>
      </c>
      <c r="E176" s="3" t="s">
        <v>128</v>
      </c>
      <c r="F176" s="13" t="s">
        <v>136</v>
      </c>
      <c r="G176" s="3" t="s">
        <v>145</v>
      </c>
      <c r="H176" s="3" t="s">
        <v>151</v>
      </c>
      <c r="I176" s="3" t="s">
        <v>154</v>
      </c>
      <c r="J176" s="13" t="s">
        <v>135</v>
      </c>
    </row>
    <row r="177" spans="1:10" ht="15" x14ac:dyDescent="0.25">
      <c r="A177" s="5" t="s">
        <v>87</v>
      </c>
      <c r="B177" s="6" t="s">
        <v>2</v>
      </c>
      <c r="C17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7689.9066569902152</v>
      </c>
      <c r="D177" s="7" t="s">
        <v>136</v>
      </c>
      <c r="E177" s="3" t="s">
        <v>131</v>
      </c>
      <c r="F177" s="13" t="s">
        <v>136</v>
      </c>
      <c r="G177" s="3" t="s">
        <v>146</v>
      </c>
      <c r="H177" s="3" t="s">
        <v>152</v>
      </c>
      <c r="I177" s="3" t="s">
        <v>154</v>
      </c>
      <c r="J177" s="13" t="s">
        <v>135</v>
      </c>
    </row>
    <row r="178" spans="1:10" ht="15" x14ac:dyDescent="0.25">
      <c r="A178" s="8" t="s">
        <v>88</v>
      </c>
      <c r="B178" s="9" t="s">
        <v>35</v>
      </c>
      <c r="C17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16098.816207953865</v>
      </c>
      <c r="D178" s="7" t="s">
        <v>135</v>
      </c>
      <c r="E178" s="3" t="s">
        <v>131</v>
      </c>
      <c r="F178" s="13" t="s">
        <v>135</v>
      </c>
      <c r="G178" s="3" t="s">
        <v>146</v>
      </c>
      <c r="H178" s="3" t="s">
        <v>149</v>
      </c>
      <c r="I178" s="3" t="s">
        <v>157</v>
      </c>
      <c r="J178" s="13" t="s">
        <v>135</v>
      </c>
    </row>
    <row r="179" spans="1:10" ht="15" x14ac:dyDescent="0.25">
      <c r="A179" s="5" t="s">
        <v>88</v>
      </c>
      <c r="B179" s="6" t="s">
        <v>17</v>
      </c>
      <c r="C17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58356.821250673871</v>
      </c>
      <c r="D179" s="7" t="s">
        <v>135</v>
      </c>
      <c r="E179" s="3" t="s">
        <v>128</v>
      </c>
      <c r="F179" s="13" t="s">
        <v>135</v>
      </c>
      <c r="G179" s="3" t="s">
        <v>144</v>
      </c>
      <c r="H179" s="3" t="s">
        <v>149</v>
      </c>
      <c r="I179" s="3" t="s">
        <v>157</v>
      </c>
      <c r="J179" s="13" t="s">
        <v>135</v>
      </c>
    </row>
    <row r="180" spans="1:10" ht="15" x14ac:dyDescent="0.25">
      <c r="A180" s="8" t="s">
        <v>88</v>
      </c>
      <c r="B180" s="9" t="s">
        <v>6</v>
      </c>
      <c r="C18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1290.2360720071008</v>
      </c>
      <c r="D180" s="7" t="s">
        <v>135</v>
      </c>
      <c r="E180" s="3" t="s">
        <v>128</v>
      </c>
      <c r="F180" s="13" t="s">
        <v>136</v>
      </c>
      <c r="G180" s="3" t="s">
        <v>144</v>
      </c>
      <c r="H180" s="3" t="s">
        <v>150</v>
      </c>
      <c r="I180" s="3" t="s">
        <v>153</v>
      </c>
      <c r="J180" s="13" t="s">
        <v>135</v>
      </c>
    </row>
    <row r="181" spans="1:10" ht="15" x14ac:dyDescent="0.25">
      <c r="A181" s="5" t="s">
        <v>88</v>
      </c>
      <c r="B181" s="6" t="s">
        <v>55</v>
      </c>
      <c r="C18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25923.261015234155</v>
      </c>
      <c r="D181" s="7" t="s">
        <v>135</v>
      </c>
      <c r="E181" s="3" t="s">
        <v>128</v>
      </c>
      <c r="F181" s="13" t="s">
        <v>136</v>
      </c>
      <c r="G181" s="3" t="s">
        <v>144</v>
      </c>
      <c r="H181" s="3" t="s">
        <v>151</v>
      </c>
      <c r="I181" s="3" t="s">
        <v>154</v>
      </c>
      <c r="J181" s="13" t="s">
        <v>135</v>
      </c>
    </row>
    <row r="182" spans="1:10" ht="15" x14ac:dyDescent="0.25">
      <c r="A182" s="8" t="s">
        <v>89</v>
      </c>
      <c r="B182" s="9" t="s">
        <v>2</v>
      </c>
      <c r="C18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940.00104003539332</v>
      </c>
      <c r="D182" s="7" t="s">
        <v>136</v>
      </c>
      <c r="E182" s="3" t="s">
        <v>131</v>
      </c>
      <c r="F182" s="13" t="s">
        <v>136</v>
      </c>
      <c r="G182" s="3" t="s">
        <v>146</v>
      </c>
      <c r="H182" s="3" t="s">
        <v>152</v>
      </c>
      <c r="I182" s="3" t="s">
        <v>154</v>
      </c>
      <c r="J182" s="13" t="s">
        <v>135</v>
      </c>
    </row>
    <row r="183" spans="1:10" ht="15" x14ac:dyDescent="0.25">
      <c r="A183" s="5" t="s">
        <v>89</v>
      </c>
      <c r="B183" s="6" t="s">
        <v>48</v>
      </c>
      <c r="C18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172.3393522381229</v>
      </c>
      <c r="D183" s="7" t="s">
        <v>136</v>
      </c>
      <c r="E183" s="3" t="s">
        <v>131</v>
      </c>
      <c r="F183" s="13" t="s">
        <v>136</v>
      </c>
      <c r="G183" s="3" t="s">
        <v>146</v>
      </c>
      <c r="H183" s="3" t="s">
        <v>152</v>
      </c>
      <c r="I183" s="3" t="s">
        <v>154</v>
      </c>
      <c r="J183" s="13" t="s">
        <v>135</v>
      </c>
    </row>
    <row r="184" spans="1:10" ht="15" x14ac:dyDescent="0.25">
      <c r="A184" s="8" t="s">
        <v>90</v>
      </c>
      <c r="B184" s="9" t="s">
        <v>65</v>
      </c>
      <c r="C18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974.27162305449031</v>
      </c>
      <c r="D184" s="7" t="s">
        <v>136</v>
      </c>
      <c r="E184" s="3" t="s">
        <v>133</v>
      </c>
      <c r="F184" s="13" t="s">
        <v>136</v>
      </c>
      <c r="G184" s="3" t="s">
        <v>145</v>
      </c>
      <c r="H184" s="3" t="s">
        <v>152</v>
      </c>
      <c r="I184" s="3" t="s">
        <v>154</v>
      </c>
      <c r="J184" s="13" t="s">
        <v>135</v>
      </c>
    </row>
    <row r="185" spans="1:10" ht="15" x14ac:dyDescent="0.25">
      <c r="A185" s="5" t="s">
        <v>90</v>
      </c>
      <c r="B185" s="6" t="s">
        <v>100</v>
      </c>
      <c r="C18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1896.8399279578844</v>
      </c>
      <c r="D185" s="7" t="s">
        <v>136</v>
      </c>
      <c r="E185" s="3" t="s">
        <v>133</v>
      </c>
      <c r="F185" s="13" t="s">
        <v>135</v>
      </c>
      <c r="G185" s="3" t="s">
        <v>144</v>
      </c>
      <c r="H185" s="3" t="s">
        <v>150</v>
      </c>
      <c r="I185" s="3" t="s">
        <v>153</v>
      </c>
      <c r="J185" s="13" t="s">
        <v>135</v>
      </c>
    </row>
    <row r="186" spans="1:10" ht="15" x14ac:dyDescent="0.25">
      <c r="A186" s="8" t="s">
        <v>91</v>
      </c>
      <c r="B186" s="9" t="s">
        <v>16</v>
      </c>
      <c r="C18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2700.9664197340007</v>
      </c>
      <c r="D186" s="7" t="s">
        <v>136</v>
      </c>
      <c r="E186" s="3" t="s">
        <v>137</v>
      </c>
      <c r="F186" s="13" t="s">
        <v>136</v>
      </c>
      <c r="G186" s="3" t="s">
        <v>146</v>
      </c>
      <c r="H186" s="3" t="s">
        <v>152</v>
      </c>
      <c r="I186" s="3" t="s">
        <v>154</v>
      </c>
      <c r="J186" s="13" t="s">
        <v>135</v>
      </c>
    </row>
    <row r="187" spans="1:10" ht="15" x14ac:dyDescent="0.25">
      <c r="A187" s="5" t="s">
        <v>92</v>
      </c>
      <c r="B187" s="6" t="s">
        <v>73</v>
      </c>
      <c r="C18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2948.6317644945184</v>
      </c>
      <c r="D187" s="7" t="s">
        <v>135</v>
      </c>
      <c r="E187" s="3" t="s">
        <v>128</v>
      </c>
      <c r="F187" s="13" t="s">
        <v>136</v>
      </c>
      <c r="G187" s="3" t="s">
        <v>146</v>
      </c>
      <c r="H187" s="3" t="s">
        <v>150</v>
      </c>
      <c r="I187" s="3" t="s">
        <v>153</v>
      </c>
      <c r="J187" s="13" t="s">
        <v>135</v>
      </c>
    </row>
    <row r="188" spans="1:10" ht="15" x14ac:dyDescent="0.25">
      <c r="A188" s="8" t="s">
        <v>92</v>
      </c>
      <c r="B188" s="9" t="s">
        <v>21</v>
      </c>
      <c r="C18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1744.1861631310169</v>
      </c>
      <c r="D188" s="7" t="s">
        <v>135</v>
      </c>
      <c r="E188" s="3" t="s">
        <v>131</v>
      </c>
      <c r="F188" s="13" t="s">
        <v>136</v>
      </c>
      <c r="G188" s="3" t="s">
        <v>144</v>
      </c>
      <c r="H188" s="3" t="s">
        <v>152</v>
      </c>
      <c r="I188" s="3" t="s">
        <v>154</v>
      </c>
      <c r="J188" s="13" t="s">
        <v>135</v>
      </c>
    </row>
    <row r="189" spans="1:10" ht="15" x14ac:dyDescent="0.25">
      <c r="A189" s="5" t="s">
        <v>93</v>
      </c>
      <c r="B189" s="6" t="s">
        <v>83</v>
      </c>
      <c r="C18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18745.951144375973</v>
      </c>
      <c r="D189" s="7" t="s">
        <v>135</v>
      </c>
      <c r="E189" s="3" t="s">
        <v>128</v>
      </c>
      <c r="F189" s="13" t="s">
        <v>136</v>
      </c>
      <c r="G189" s="3" t="s">
        <v>145</v>
      </c>
      <c r="H189" s="3" t="s">
        <v>152</v>
      </c>
      <c r="I189" s="3" t="s">
        <v>154</v>
      </c>
      <c r="J189" s="13" t="s">
        <v>135</v>
      </c>
    </row>
    <row r="190" spans="1:10" ht="15" x14ac:dyDescent="0.25">
      <c r="A190" s="8" t="s">
        <v>93</v>
      </c>
      <c r="B190" s="9" t="s">
        <v>38</v>
      </c>
      <c r="C19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16388.092270340276</v>
      </c>
      <c r="D190" s="7" t="s">
        <v>136</v>
      </c>
      <c r="E190" s="3" t="s">
        <v>131</v>
      </c>
      <c r="F190" s="13" t="s">
        <v>136</v>
      </c>
      <c r="G190" s="3" t="s">
        <v>146</v>
      </c>
      <c r="H190" s="3" t="s">
        <v>152</v>
      </c>
      <c r="I190" s="3" t="s">
        <v>154</v>
      </c>
      <c r="J190" s="13" t="s">
        <v>135</v>
      </c>
    </row>
    <row r="191" spans="1:10" ht="15" x14ac:dyDescent="0.25">
      <c r="A191" s="5" t="s">
        <v>94</v>
      </c>
      <c r="B191" s="6" t="s">
        <v>88</v>
      </c>
      <c r="C19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17414.784748966536</v>
      </c>
      <c r="D191" s="7" t="s">
        <v>135</v>
      </c>
      <c r="E191" s="3" t="s">
        <v>128</v>
      </c>
      <c r="F191" s="13" t="s">
        <v>135</v>
      </c>
      <c r="G191" s="3" t="s">
        <v>144</v>
      </c>
      <c r="H191" s="3" t="s">
        <v>149</v>
      </c>
      <c r="I191" s="3" t="s">
        <v>157</v>
      </c>
      <c r="J191" s="13" t="s">
        <v>135</v>
      </c>
    </row>
    <row r="192" spans="1:10" ht="15" x14ac:dyDescent="0.25">
      <c r="A192" s="8" t="s">
        <v>94</v>
      </c>
      <c r="B192" s="9" t="s">
        <v>55</v>
      </c>
      <c r="C19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8511.2472889610035</v>
      </c>
      <c r="D192" s="7" t="s">
        <v>135</v>
      </c>
      <c r="E192" s="3" t="s">
        <v>128</v>
      </c>
      <c r="F192" s="13" t="s">
        <v>135</v>
      </c>
      <c r="G192" s="3" t="s">
        <v>144</v>
      </c>
      <c r="H192" s="3" t="s">
        <v>150</v>
      </c>
      <c r="I192" s="3" t="s">
        <v>153</v>
      </c>
      <c r="J192" s="13" t="s">
        <v>135</v>
      </c>
    </row>
    <row r="193" spans="1:10" ht="15" x14ac:dyDescent="0.25">
      <c r="A193" s="5" t="s">
        <v>94</v>
      </c>
      <c r="B193" s="6" t="s">
        <v>24</v>
      </c>
      <c r="C19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3202.8631443700033</v>
      </c>
      <c r="D193" s="7" t="s">
        <v>135</v>
      </c>
      <c r="E193" s="3" t="s">
        <v>128</v>
      </c>
      <c r="F193" s="13" t="s">
        <v>135</v>
      </c>
      <c r="G193" s="3" t="s">
        <v>144</v>
      </c>
      <c r="H193" s="3" t="s">
        <v>149</v>
      </c>
      <c r="I193" s="3" t="s">
        <v>157</v>
      </c>
      <c r="J193" s="13" t="s">
        <v>135</v>
      </c>
    </row>
    <row r="194" spans="1:10" ht="15" x14ac:dyDescent="0.25">
      <c r="A194" s="8" t="s">
        <v>95</v>
      </c>
      <c r="B194" s="9" t="s">
        <v>18</v>
      </c>
      <c r="C19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629.05200647224751</v>
      </c>
      <c r="D194" s="7" t="s">
        <v>135</v>
      </c>
      <c r="E194" s="3" t="s">
        <v>128</v>
      </c>
      <c r="F194" s="13" t="s">
        <v>136</v>
      </c>
      <c r="G194" s="3" t="s">
        <v>146</v>
      </c>
      <c r="H194" s="3" t="s">
        <v>150</v>
      </c>
      <c r="I194" s="3" t="s">
        <v>153</v>
      </c>
      <c r="J194" s="13" t="s">
        <v>135</v>
      </c>
    </row>
    <row r="195" spans="1:10" ht="15" x14ac:dyDescent="0.25">
      <c r="A195" s="5" t="s">
        <v>96</v>
      </c>
      <c r="B195" s="6" t="s">
        <v>78</v>
      </c>
      <c r="C19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2136.0924825240068</v>
      </c>
      <c r="D195" s="7" t="s">
        <v>135</v>
      </c>
      <c r="E195" s="3" t="s">
        <v>128</v>
      </c>
      <c r="F195" s="13" t="s">
        <v>136</v>
      </c>
      <c r="G195" s="3" t="s">
        <v>144</v>
      </c>
      <c r="H195" s="3" t="s">
        <v>150</v>
      </c>
      <c r="I195" s="3" t="s">
        <v>154</v>
      </c>
      <c r="J195" s="13" t="s">
        <v>135</v>
      </c>
    </row>
    <row r="196" spans="1:10" ht="15" x14ac:dyDescent="0.25">
      <c r="A196" s="8" t="s">
        <v>96</v>
      </c>
      <c r="B196" s="9" t="s">
        <v>33</v>
      </c>
      <c r="C19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29365.325582664274</v>
      </c>
      <c r="D196" s="7" t="s">
        <v>135</v>
      </c>
      <c r="E196" s="3" t="s">
        <v>128</v>
      </c>
      <c r="F196" s="13" t="s">
        <v>136</v>
      </c>
      <c r="G196" s="3" t="s">
        <v>146</v>
      </c>
      <c r="H196" s="3" t="s">
        <v>150</v>
      </c>
      <c r="I196" s="3" t="s">
        <v>154</v>
      </c>
      <c r="J196" s="13" t="s">
        <v>135</v>
      </c>
    </row>
    <row r="197" spans="1:10" ht="15" x14ac:dyDescent="0.25">
      <c r="A197" s="5" t="s">
        <v>97</v>
      </c>
      <c r="B197" s="6" t="s">
        <v>96</v>
      </c>
      <c r="C19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18883.443947957297</v>
      </c>
      <c r="D197" s="7" t="s">
        <v>136</v>
      </c>
      <c r="E197" s="3" t="s">
        <v>137</v>
      </c>
      <c r="F197" s="13" t="s">
        <v>136</v>
      </c>
      <c r="G197" s="3" t="s">
        <v>144</v>
      </c>
      <c r="H197" s="3" t="s">
        <v>150</v>
      </c>
      <c r="I197" s="3" t="s">
        <v>153</v>
      </c>
      <c r="J197" s="13" t="s">
        <v>135</v>
      </c>
    </row>
    <row r="198" spans="1:10" ht="15" x14ac:dyDescent="0.25">
      <c r="A198" s="8" t="s">
        <v>98</v>
      </c>
      <c r="B198" s="9" t="s">
        <v>78</v>
      </c>
      <c r="C19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12714.503577760584</v>
      </c>
      <c r="D198" s="7" t="s">
        <v>135</v>
      </c>
      <c r="E198" s="3" t="s">
        <v>128</v>
      </c>
      <c r="F198" s="13" t="s">
        <v>136</v>
      </c>
      <c r="G198" s="3" t="s">
        <v>144</v>
      </c>
      <c r="H198" s="3" t="s">
        <v>150</v>
      </c>
      <c r="I198" s="3" t="s">
        <v>154</v>
      </c>
      <c r="J198" s="13" t="s">
        <v>135</v>
      </c>
    </row>
    <row r="199" spans="1:10" ht="15" x14ac:dyDescent="0.25">
      <c r="A199" s="5" t="s">
        <v>98</v>
      </c>
      <c r="B199" s="6" t="s">
        <v>89</v>
      </c>
      <c r="C19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655.69528099639592</v>
      </c>
      <c r="D199" s="7" t="s">
        <v>135</v>
      </c>
      <c r="E199" s="3" t="s">
        <v>128</v>
      </c>
      <c r="F199" s="13" t="s">
        <v>136</v>
      </c>
      <c r="G199" s="3" t="s">
        <v>145</v>
      </c>
      <c r="H199" s="3" t="s">
        <v>152</v>
      </c>
      <c r="I199" s="3" t="s">
        <v>154</v>
      </c>
      <c r="J199" s="13" t="s">
        <v>135</v>
      </c>
    </row>
    <row r="200" spans="1:10" ht="15" x14ac:dyDescent="0.25">
      <c r="A200" s="8" t="s">
        <v>99</v>
      </c>
      <c r="B200" s="9" t="s">
        <v>39</v>
      </c>
      <c r="C20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17259.295905941792</v>
      </c>
      <c r="D200" s="7" t="s">
        <v>135</v>
      </c>
      <c r="E200" s="3" t="s">
        <v>131</v>
      </c>
      <c r="F200" s="13" t="s">
        <v>136</v>
      </c>
      <c r="G200" s="3" t="s">
        <v>144</v>
      </c>
      <c r="H200" s="3" t="s">
        <v>152</v>
      </c>
      <c r="I200" s="3" t="s">
        <v>154</v>
      </c>
      <c r="J200" s="13" t="s">
        <v>135</v>
      </c>
    </row>
    <row r="201" spans="1:10" ht="15" x14ac:dyDescent="0.25">
      <c r="A201" s="5" t="s">
        <v>99</v>
      </c>
      <c r="B201" s="6" t="s">
        <v>61</v>
      </c>
      <c r="C20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12338.505797337002</v>
      </c>
      <c r="D201" s="7" t="s">
        <v>136</v>
      </c>
      <c r="E201" s="3" t="s">
        <v>137</v>
      </c>
      <c r="F201" s="13" t="s">
        <v>136</v>
      </c>
      <c r="G201" s="3" t="s">
        <v>146</v>
      </c>
      <c r="H201" s="3" t="s">
        <v>151</v>
      </c>
      <c r="I201" s="3" t="s">
        <v>154</v>
      </c>
      <c r="J201" s="13" t="s">
        <v>135</v>
      </c>
    </row>
    <row r="202" spans="1:10" ht="15" x14ac:dyDescent="0.25">
      <c r="A202" s="8" t="s">
        <v>100</v>
      </c>
      <c r="B202" s="9" t="s">
        <v>90</v>
      </c>
      <c r="C20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1896.8399279578844</v>
      </c>
      <c r="D202" s="7" t="s">
        <v>136</v>
      </c>
      <c r="E202" s="3" t="s">
        <v>133</v>
      </c>
      <c r="F202" s="13" t="s">
        <v>135</v>
      </c>
      <c r="G202" s="3" t="s">
        <v>144</v>
      </c>
      <c r="H202" s="3" t="s">
        <v>150</v>
      </c>
      <c r="I202" s="3" t="s">
        <v>153</v>
      </c>
      <c r="J202" s="13" t="s">
        <v>135</v>
      </c>
    </row>
    <row r="203" spans="1:10" ht="15" x14ac:dyDescent="0.25">
      <c r="A203" s="5" t="s">
        <v>100</v>
      </c>
      <c r="B203" s="6" t="s">
        <v>41</v>
      </c>
      <c r="C20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8851.872419097208</v>
      </c>
      <c r="D203" s="7" t="s">
        <v>135</v>
      </c>
      <c r="E203" s="3" t="s">
        <v>128</v>
      </c>
      <c r="F203" s="13" t="s">
        <v>135</v>
      </c>
      <c r="G203" s="3" t="s">
        <v>144</v>
      </c>
      <c r="H203" s="3" t="s">
        <v>149</v>
      </c>
      <c r="I203" s="3" t="s">
        <v>157</v>
      </c>
      <c r="J203" s="13" t="s">
        <v>135</v>
      </c>
    </row>
    <row r="204" spans="1:10" ht="15" x14ac:dyDescent="0.25">
      <c r="A204" s="8" t="s">
        <v>100</v>
      </c>
      <c r="B204" s="9" t="s">
        <v>51</v>
      </c>
      <c r="C20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6375.3511463993827</v>
      </c>
      <c r="D204" s="7" t="s">
        <v>136</v>
      </c>
      <c r="E204" s="3" t="s">
        <v>133</v>
      </c>
      <c r="F204" s="13" t="s">
        <v>136</v>
      </c>
      <c r="G204" s="3" t="s">
        <v>146</v>
      </c>
      <c r="H204" s="3" t="s">
        <v>152</v>
      </c>
      <c r="I204" s="3" t="s">
        <v>154</v>
      </c>
      <c r="J204" s="13" t="s">
        <v>135</v>
      </c>
    </row>
    <row r="205" spans="1:10" ht="15" x14ac:dyDescent="0.25">
      <c r="A205" s="5" t="s">
        <v>101</v>
      </c>
      <c r="B205" s="6" t="s">
        <v>44</v>
      </c>
      <c r="C20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6818.3676466158231</v>
      </c>
      <c r="D205" s="7" t="s">
        <v>136</v>
      </c>
      <c r="E205" s="3" t="s">
        <v>131</v>
      </c>
      <c r="F205" s="13" t="s">
        <v>136</v>
      </c>
      <c r="G205" s="3" t="s">
        <v>146</v>
      </c>
      <c r="H205" s="3" t="s">
        <v>152</v>
      </c>
      <c r="I205" s="3" t="s">
        <v>154</v>
      </c>
      <c r="J205" s="13" t="s">
        <v>135</v>
      </c>
    </row>
    <row r="206" spans="1:10" ht="15" x14ac:dyDescent="0.25">
      <c r="A206" s="8" t="s">
        <v>102</v>
      </c>
      <c r="B206" s="9" t="s">
        <v>34</v>
      </c>
      <c r="C20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821.93167807641612</v>
      </c>
      <c r="D206" s="7" t="s">
        <v>136</v>
      </c>
      <c r="E206" s="3" t="s">
        <v>131</v>
      </c>
      <c r="F206" s="13" t="s">
        <v>136</v>
      </c>
      <c r="G206" s="3" t="s">
        <v>144</v>
      </c>
      <c r="H206" s="3" t="s">
        <v>151</v>
      </c>
      <c r="I206" s="3" t="s">
        <v>154</v>
      </c>
      <c r="J206" s="13" t="s">
        <v>135</v>
      </c>
    </row>
    <row r="207" spans="1:10" ht="15" x14ac:dyDescent="0.25">
      <c r="A207" s="5" t="s">
        <v>102</v>
      </c>
      <c r="B207" s="6" t="s">
        <v>58</v>
      </c>
      <c r="C20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35579.384237051905</v>
      </c>
      <c r="D207" s="7" t="s">
        <v>136</v>
      </c>
      <c r="E207" s="3" t="s">
        <v>131</v>
      </c>
      <c r="F207" s="13" t="s">
        <v>136</v>
      </c>
      <c r="G207" s="3" t="s">
        <v>146</v>
      </c>
      <c r="H207" s="3" t="s">
        <v>151</v>
      </c>
      <c r="I207" s="3" t="s">
        <v>153</v>
      </c>
      <c r="J207" s="13" t="s">
        <v>135</v>
      </c>
    </row>
    <row r="208" spans="1:10" ht="15" x14ac:dyDescent="0.25">
      <c r="A208" s="8" t="s">
        <v>103</v>
      </c>
      <c r="B208" s="9" t="s">
        <v>31</v>
      </c>
      <c r="C20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29547.569374060698</v>
      </c>
      <c r="D208" s="7" t="s">
        <v>136</v>
      </c>
      <c r="E208" s="3" t="s">
        <v>133</v>
      </c>
      <c r="F208" s="13" t="s">
        <v>136</v>
      </c>
      <c r="G208" s="3" t="s">
        <v>144</v>
      </c>
      <c r="H208" s="3" t="s">
        <v>152</v>
      </c>
      <c r="I208" s="3" t="s">
        <v>154</v>
      </c>
      <c r="J208" s="13" t="s">
        <v>135</v>
      </c>
    </row>
    <row r="209" spans="1:10" ht="15" x14ac:dyDescent="0.25">
      <c r="A209" s="5" t="s">
        <v>103</v>
      </c>
      <c r="B209" s="6" t="s">
        <v>53</v>
      </c>
      <c r="C209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27223.984481807147</v>
      </c>
      <c r="D209" s="7" t="s">
        <v>136</v>
      </c>
      <c r="E209" s="3" t="s">
        <v>133</v>
      </c>
      <c r="F209" s="13" t="s">
        <v>136</v>
      </c>
      <c r="G209" s="3" t="s">
        <v>145</v>
      </c>
      <c r="H209" s="3" t="s">
        <v>152</v>
      </c>
      <c r="I209" s="3" t="s">
        <v>154</v>
      </c>
      <c r="J209" s="13" t="s">
        <v>135</v>
      </c>
    </row>
    <row r="210" spans="1:10" ht="15" x14ac:dyDescent="0.25">
      <c r="A210" s="8" t="s">
        <v>104</v>
      </c>
      <c r="B210" s="9" t="s">
        <v>74</v>
      </c>
      <c r="C210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1538.0287221649414</v>
      </c>
      <c r="D210" s="7" t="s">
        <v>136</v>
      </c>
      <c r="E210" s="3" t="s">
        <v>137</v>
      </c>
      <c r="F210" s="13" t="s">
        <v>136</v>
      </c>
      <c r="G210" s="3" t="s">
        <v>146</v>
      </c>
      <c r="H210" s="3" t="s">
        <v>152</v>
      </c>
      <c r="I210" s="3" t="s">
        <v>154</v>
      </c>
      <c r="J210" s="13" t="s">
        <v>135</v>
      </c>
    </row>
    <row r="211" spans="1:10" ht="15" x14ac:dyDescent="0.25">
      <c r="A211" s="5" t="s">
        <v>104</v>
      </c>
      <c r="B211" s="6" t="s">
        <v>84</v>
      </c>
      <c r="C211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16524.184379356673</v>
      </c>
      <c r="D211" s="7" t="s">
        <v>136</v>
      </c>
      <c r="E211" s="3" t="s">
        <v>137</v>
      </c>
      <c r="F211" s="13" t="s">
        <v>136</v>
      </c>
      <c r="G211" s="3" t="s">
        <v>146</v>
      </c>
      <c r="H211" s="3" t="s">
        <v>152</v>
      </c>
      <c r="I211" s="3" t="s">
        <v>154</v>
      </c>
      <c r="J211" s="13" t="s">
        <v>135</v>
      </c>
    </row>
    <row r="212" spans="1:10" ht="15" x14ac:dyDescent="0.25">
      <c r="A212" s="8" t="s">
        <v>105</v>
      </c>
      <c r="B212" s="9" t="s">
        <v>17</v>
      </c>
      <c r="C212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33411.860236893197</v>
      </c>
      <c r="D212" s="7" t="s">
        <v>135</v>
      </c>
      <c r="E212" s="3" t="s">
        <v>128</v>
      </c>
      <c r="F212" s="13" t="s">
        <v>135</v>
      </c>
      <c r="G212" s="3" t="s">
        <v>144</v>
      </c>
      <c r="H212" s="3" t="s">
        <v>149</v>
      </c>
      <c r="I212" s="3" t="s">
        <v>157</v>
      </c>
      <c r="J212" s="13" t="s">
        <v>135</v>
      </c>
    </row>
    <row r="213" spans="1:10" ht="15" x14ac:dyDescent="0.25">
      <c r="A213" s="5" t="s">
        <v>105</v>
      </c>
      <c r="B213" s="6" t="s">
        <v>34</v>
      </c>
      <c r="C213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12630.779322519011</v>
      </c>
      <c r="D213" s="7" t="s">
        <v>136</v>
      </c>
      <c r="E213" s="3" t="s">
        <v>131</v>
      </c>
      <c r="F213" s="13" t="s">
        <v>136</v>
      </c>
      <c r="G213" s="3" t="s">
        <v>146</v>
      </c>
      <c r="H213" s="3" t="s">
        <v>151</v>
      </c>
      <c r="I213" s="3" t="s">
        <v>153</v>
      </c>
      <c r="J213" s="13" t="s">
        <v>135</v>
      </c>
    </row>
    <row r="214" spans="1:10" ht="15" x14ac:dyDescent="0.25">
      <c r="A214" s="8" t="s">
        <v>106</v>
      </c>
      <c r="B214" s="9" t="s">
        <v>60</v>
      </c>
      <c r="C214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2199.2490638242989</v>
      </c>
      <c r="D214" s="7" t="s">
        <v>136</v>
      </c>
      <c r="E214" s="3" t="s">
        <v>137</v>
      </c>
      <c r="F214" s="13" t="s">
        <v>136</v>
      </c>
      <c r="G214" s="3" t="s">
        <v>144</v>
      </c>
      <c r="H214" s="3" t="s">
        <v>149</v>
      </c>
      <c r="I214" s="3" t="s">
        <v>153</v>
      </c>
      <c r="J214" s="13" t="s">
        <v>135</v>
      </c>
    </row>
    <row r="215" spans="1:10" ht="15" x14ac:dyDescent="0.25">
      <c r="A215" s="5" t="s">
        <v>106</v>
      </c>
      <c r="B215" s="6" t="s">
        <v>92</v>
      </c>
      <c r="C215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19565.127555098003</v>
      </c>
      <c r="D215" s="7" t="s">
        <v>135</v>
      </c>
      <c r="E215" s="3" t="s">
        <v>128</v>
      </c>
      <c r="F215" s="13" t="s">
        <v>136</v>
      </c>
      <c r="G215" s="3" t="s">
        <v>146</v>
      </c>
      <c r="H215" s="3" t="s">
        <v>152</v>
      </c>
      <c r="I215" s="3" t="s">
        <v>154</v>
      </c>
      <c r="J215" s="13" t="s">
        <v>135</v>
      </c>
    </row>
    <row r="216" spans="1:10" ht="15" x14ac:dyDescent="0.25">
      <c r="A216" s="8" t="s">
        <v>107</v>
      </c>
      <c r="B216" s="9" t="s">
        <v>42</v>
      </c>
      <c r="C216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13234.102508812628</v>
      </c>
      <c r="D216" s="7" t="s">
        <v>135</v>
      </c>
      <c r="E216" s="3" t="s">
        <v>128</v>
      </c>
      <c r="F216" s="13" t="s">
        <v>135</v>
      </c>
      <c r="G216" s="3" t="s">
        <v>144</v>
      </c>
      <c r="H216" s="3" t="s">
        <v>150</v>
      </c>
      <c r="I216" s="3" t="s">
        <v>153</v>
      </c>
      <c r="J216" s="13" t="s">
        <v>135</v>
      </c>
    </row>
    <row r="217" spans="1:10" ht="15" x14ac:dyDescent="0.25">
      <c r="A217" s="5" t="s">
        <v>107</v>
      </c>
      <c r="B217" s="6" t="s">
        <v>47</v>
      </c>
      <c r="C217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3230.169994050369</v>
      </c>
      <c r="D217" s="7" t="s">
        <v>136</v>
      </c>
      <c r="E217" s="3" t="s">
        <v>130</v>
      </c>
      <c r="F217" s="13" t="s">
        <v>136</v>
      </c>
      <c r="G217" s="3" t="s">
        <v>144</v>
      </c>
      <c r="H217" s="3" t="s">
        <v>152</v>
      </c>
      <c r="I217" s="3" t="s">
        <v>154</v>
      </c>
      <c r="J217" s="13" t="s">
        <v>135</v>
      </c>
    </row>
    <row r="218" spans="1:10" ht="15" x14ac:dyDescent="0.25">
      <c r="A218" s="11" t="s">
        <v>107</v>
      </c>
      <c r="B218" s="12" t="s">
        <v>31</v>
      </c>
      <c r="C218" s="3">
        <f>2*Dados!$B$2*ASIN(SQRT((SIN((VLOOKUP(Tabela2[[#This Row],[Origem]],Tabela1[],4,FALSE)-VLOOKUP(Tabela2[[#This Row],[Destino]],Tabela1[],4,FALSE))/2)^2+COS(VLOOKUP(Tabela2[[#This Row],[Origem]],Tabela1[],4,FALSE))*COS(VLOOKUP(Tabela2[[#This Row],[Destino]],Tabela1[],4,FALSE))*(SIN((VLOOKUP(Tabela2[[#This Row],[Origem]],Tabela1[],5,FALSE)-VLOOKUP(Tabela2[[#This Row],[Destino]],Tabela1[],5,FALSE))/2)^2))))</f>
        <v>49286.849728767396</v>
      </c>
      <c r="D218" s="7" t="s">
        <v>136</v>
      </c>
      <c r="E218" s="3" t="s">
        <v>131</v>
      </c>
      <c r="F218" s="13" t="s">
        <v>136</v>
      </c>
      <c r="G218" s="3" t="s">
        <v>144</v>
      </c>
      <c r="H218" s="3" t="s">
        <v>152</v>
      </c>
      <c r="I218" s="3" t="s">
        <v>154</v>
      </c>
      <c r="J218" s="13" t="s">
        <v>135</v>
      </c>
    </row>
  </sheetData>
  <conditionalFormatting sqref="D3:D218">
    <cfRule type="cellIs" dxfId="66" priority="22" operator="equal">
      <formula>"Não"</formula>
    </cfRule>
    <cfRule type="cellIs" dxfId="65" priority="23" operator="equal">
      <formula>"Sim"</formula>
    </cfRule>
  </conditionalFormatting>
  <conditionalFormatting sqref="E3:E218">
    <cfRule type="cellIs" dxfId="64" priority="25" operator="equal">
      <formula>"Chuva extrema"</formula>
    </cfRule>
    <cfRule type="cellIs" dxfId="63" priority="26" operator="equal">
      <formula>"Chuva muito forte"</formula>
    </cfRule>
    <cfRule type="cellIs" dxfId="62" priority="27" operator="equal">
      <formula>"Chuva forte"</formula>
    </cfRule>
    <cfRule type="cellIs" dxfId="61" priority="28" operator="equal">
      <formula>"Chuva moderada"</formula>
    </cfRule>
    <cfRule type="cellIs" dxfId="60" priority="29" operator="equal">
      <formula>"Chuva fraca"</formula>
    </cfRule>
    <cfRule type="cellIs" dxfId="59" priority="30" operator="equal">
      <formula>"Garoa"</formula>
    </cfRule>
    <cfRule type="cellIs" dxfId="58" priority="31" operator="equal">
      <formula>"Sem chuva"</formula>
    </cfRule>
  </conditionalFormatting>
  <conditionalFormatting sqref="F3:F218">
    <cfRule type="cellIs" dxfId="57" priority="16" operator="equal">
      <formula>"Sim"</formula>
    </cfRule>
    <cfRule type="cellIs" dxfId="56" priority="21" operator="equal">
      <formula>"Não"</formula>
    </cfRule>
  </conditionalFormatting>
  <conditionalFormatting sqref="G3:G218">
    <cfRule type="cellIs" dxfId="55" priority="12" operator="equal">
      <formula>"Larga"</formula>
    </cfRule>
    <cfRule type="cellIs" dxfId="54" priority="13" operator="equal">
      <formula>"Intermediária"</formula>
    </cfRule>
    <cfRule type="cellIs" dxfId="53" priority="14" operator="equal">
      <formula>"Estreita"</formula>
    </cfRule>
  </conditionalFormatting>
  <conditionalFormatting sqref="H3:H218">
    <cfRule type="cellIs" dxfId="52" priority="7" operator="equal">
      <formula>"Muito alto"</formula>
    </cfRule>
    <cfRule type="cellIs" dxfId="51" priority="8" operator="equal">
      <formula>"Alto"</formula>
    </cfRule>
    <cfRule type="cellIs" dxfId="50" priority="9" operator="equal">
      <formula>"Médio"</formula>
    </cfRule>
    <cfRule type="cellIs" dxfId="49" priority="10" operator="equal">
      <formula>"Baixo"</formula>
    </cfRule>
    <cfRule type="cellIs" dxfId="48" priority="11" operator="equal">
      <formula>"Muito baixo"</formula>
    </cfRule>
  </conditionalFormatting>
  <conditionalFormatting sqref="I3:I218">
    <cfRule type="cellIs" dxfId="47" priority="3" operator="equal">
      <formula>"Rodovia"</formula>
    </cfRule>
    <cfRule type="cellIs" dxfId="46" priority="4" operator="equal">
      <formula>"Arterial"</formula>
    </cfRule>
    <cfRule type="cellIs" dxfId="45" priority="5" operator="equal">
      <formula>"Coletora"</formula>
    </cfRule>
    <cfRule type="cellIs" dxfId="44" priority="6" operator="equal">
      <formula>"Residencial"</formula>
    </cfRule>
  </conditionalFormatting>
  <conditionalFormatting sqref="J3:J218">
    <cfRule type="cellIs" dxfId="43" priority="1" operator="equal">
      <formula>"Não"</formula>
    </cfRule>
    <cfRule type="cellIs" dxfId="42" priority="2" operator="equal">
      <formula>"Sim"</formula>
    </cfRule>
  </conditionalFormatting>
  <dataValidations count="1">
    <dataValidation type="list" allowBlank="1" showInputMessage="1" showErrorMessage="1" sqref="D2:D218" xr:uid="{B50D714D-F23C-4C7C-9CAB-588D57D0222F}">
      <formula1>#REF!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64C04DE-B767-480F-9D59-5DDF95DB9F2A}">
          <x14:formula1>
            <xm:f>Dados!$H$2:$H$8</xm:f>
          </x14:formula1>
          <xm:sqref>E3:E218</xm:sqref>
        </x14:dataValidation>
        <x14:dataValidation type="list" allowBlank="1" showInputMessage="1" showErrorMessage="1" xr:uid="{E224EF1E-E484-4834-9A59-A447C9445515}">
          <x14:formula1>
            <xm:f>Dados!$I$15:$I$17</xm:f>
          </x14:formula1>
          <xm:sqref>G3:G218</xm:sqref>
        </x14:dataValidation>
        <x14:dataValidation type="list" allowBlank="1" showInputMessage="1" showErrorMessage="1" xr:uid="{2D9CE513-7B05-4C9D-AD87-8822FC3BBCDE}">
          <x14:formula1>
            <xm:f>Dados!$I$20:$I$24</xm:f>
          </x14:formula1>
          <xm:sqref>H3:H218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B191-BF95-4E67-B39F-A4147FDA60F5}">
  <dimension ref="A1:R34"/>
  <sheetViews>
    <sheetView topLeftCell="F1" workbookViewId="0">
      <selection activeCell="M12" sqref="M12"/>
    </sheetView>
  </sheetViews>
  <sheetFormatPr defaultRowHeight="14.25" x14ac:dyDescent="0.25"/>
  <cols>
    <col min="1" max="1" width="17.85546875" style="3" bestFit="1" customWidth="1"/>
    <col min="2" max="2" width="11.85546875" style="3" bestFit="1" customWidth="1"/>
    <col min="3" max="3" width="9.140625" style="3"/>
    <col min="4" max="4" width="21.85546875" style="3" bestFit="1" customWidth="1"/>
    <col min="5" max="5" width="57.5703125" style="3" bestFit="1" customWidth="1"/>
    <col min="6" max="6" width="89" style="3" bestFit="1" customWidth="1"/>
    <col min="7" max="7" width="9.140625" style="3"/>
    <col min="8" max="8" width="24.42578125" style="3" bestFit="1" customWidth="1"/>
    <col min="9" max="9" width="19" style="3" bestFit="1" customWidth="1"/>
    <col min="10" max="10" width="10.7109375" style="3" bestFit="1" customWidth="1"/>
    <col min="11" max="11" width="9.140625" style="3"/>
    <col min="12" max="12" width="18.85546875" style="3" bestFit="1" customWidth="1"/>
    <col min="13" max="13" width="11" style="3" bestFit="1" customWidth="1"/>
    <col min="14" max="14" width="14" style="3" bestFit="1" customWidth="1"/>
    <col min="15" max="15" width="19" style="3" bestFit="1" customWidth="1"/>
    <col min="16" max="16" width="10.7109375" style="3" bestFit="1" customWidth="1"/>
    <col min="17" max="16384" width="9.140625" style="3"/>
  </cols>
  <sheetData>
    <row r="1" spans="1:18" x14ac:dyDescent="0.2">
      <c r="A1" s="3" t="s">
        <v>115</v>
      </c>
      <c r="B1" s="3" t="s">
        <v>116</v>
      </c>
      <c r="D1" s="3" t="s">
        <v>118</v>
      </c>
      <c r="E1" s="3" t="s">
        <v>122</v>
      </c>
      <c r="F1" s="3" t="s">
        <v>119</v>
      </c>
      <c r="H1" s="3" t="s">
        <v>127</v>
      </c>
      <c r="I1" s="3" t="s">
        <v>126</v>
      </c>
      <c r="J1" s="3" t="s">
        <v>180</v>
      </c>
      <c r="L1" s="3" t="s">
        <v>163</v>
      </c>
      <c r="M1" s="3" t="s">
        <v>164</v>
      </c>
      <c r="N1" s="3" t="s">
        <v>165</v>
      </c>
      <c r="O1" s="3" t="s">
        <v>127</v>
      </c>
      <c r="P1" s="3" t="s">
        <v>180</v>
      </c>
      <c r="R1" s="21"/>
    </row>
    <row r="2" spans="1:18" ht="15.75" thickBot="1" x14ac:dyDescent="0.25">
      <c r="A2" s="3" t="s">
        <v>114</v>
      </c>
      <c r="B2" s="28">
        <v>6371008.7999999998</v>
      </c>
      <c r="D2" s="3" t="s">
        <v>121</v>
      </c>
      <c r="E2" s="3" t="s">
        <v>123</v>
      </c>
      <c r="F2" s="3" t="s">
        <v>120</v>
      </c>
      <c r="H2" s="29" t="s">
        <v>128</v>
      </c>
      <c r="I2" s="3">
        <v>0</v>
      </c>
      <c r="J2" s="19">
        <v>1</v>
      </c>
      <c r="L2" s="3">
        <v>1</v>
      </c>
      <c r="M2" s="30">
        <v>0</v>
      </c>
      <c r="N2" s="30">
        <v>0.24930555555555556</v>
      </c>
      <c r="O2" s="27" t="s">
        <v>166</v>
      </c>
      <c r="P2" s="19">
        <v>0.9</v>
      </c>
    </row>
    <row r="3" spans="1:18" ht="15.75" thickBot="1" x14ac:dyDescent="0.25">
      <c r="D3" s="3" t="s">
        <v>181</v>
      </c>
      <c r="F3" s="3" t="s">
        <v>182</v>
      </c>
      <c r="H3" s="31" t="s">
        <v>132</v>
      </c>
      <c r="I3" s="3">
        <v>1</v>
      </c>
      <c r="J3" s="19">
        <v>1.1000000000000001</v>
      </c>
      <c r="L3" s="3">
        <v>2</v>
      </c>
      <c r="M3" s="30">
        <v>0.25</v>
      </c>
      <c r="N3" s="30">
        <v>0.3743055555555555</v>
      </c>
      <c r="O3" s="27" t="s">
        <v>167</v>
      </c>
      <c r="P3" s="19">
        <v>1.8</v>
      </c>
    </row>
    <row r="4" spans="1:18" ht="15.75" thickBot="1" x14ac:dyDescent="0.25">
      <c r="H4" s="32" t="s">
        <v>129</v>
      </c>
      <c r="I4" s="3">
        <v>2</v>
      </c>
      <c r="J4" s="19">
        <v>1.2</v>
      </c>
      <c r="L4" s="3">
        <v>3</v>
      </c>
      <c r="M4" s="30">
        <v>0.375</v>
      </c>
      <c r="N4" s="30">
        <v>0.4993055555555555</v>
      </c>
      <c r="O4" s="27" t="s">
        <v>168</v>
      </c>
      <c r="P4" s="19">
        <v>1.2</v>
      </c>
    </row>
    <row r="5" spans="1:18" ht="15.75" thickBot="1" x14ac:dyDescent="0.25">
      <c r="H5" s="33" t="s">
        <v>130</v>
      </c>
      <c r="I5" s="3">
        <v>3</v>
      </c>
      <c r="J5" s="19">
        <v>1.3</v>
      </c>
      <c r="L5" s="3">
        <v>4</v>
      </c>
      <c r="M5" s="30">
        <v>0.5</v>
      </c>
      <c r="N5" s="30">
        <v>0.58263888888888882</v>
      </c>
      <c r="O5" s="27" t="s">
        <v>169</v>
      </c>
      <c r="P5" s="19">
        <v>1.4</v>
      </c>
    </row>
    <row r="6" spans="1:18" ht="15.75" thickBot="1" x14ac:dyDescent="0.25">
      <c r="H6" s="34" t="s">
        <v>131</v>
      </c>
      <c r="I6" s="3">
        <v>4</v>
      </c>
      <c r="J6" s="19">
        <v>2</v>
      </c>
      <c r="L6" s="3">
        <v>5</v>
      </c>
      <c r="M6" s="30">
        <v>0.58333333333333337</v>
      </c>
      <c r="N6" s="30">
        <v>0.70763888888888893</v>
      </c>
      <c r="O6" s="27" t="s">
        <v>170</v>
      </c>
      <c r="P6" s="19">
        <v>1.3</v>
      </c>
    </row>
    <row r="7" spans="1:18" ht="15.75" thickBot="1" x14ac:dyDescent="0.25">
      <c r="H7" s="35" t="s">
        <v>133</v>
      </c>
      <c r="I7" s="3">
        <v>5</v>
      </c>
      <c r="J7" s="19">
        <v>2.5</v>
      </c>
      <c r="L7" s="3">
        <v>6</v>
      </c>
      <c r="M7" s="30">
        <v>0.70833333333333337</v>
      </c>
      <c r="N7" s="30">
        <v>0.83263888888888893</v>
      </c>
      <c r="O7" s="27" t="s">
        <v>173</v>
      </c>
      <c r="P7" s="19">
        <v>2</v>
      </c>
    </row>
    <row r="8" spans="1:18" ht="15.75" thickBot="1" x14ac:dyDescent="0.25">
      <c r="H8" s="36" t="s">
        <v>137</v>
      </c>
      <c r="I8" s="3">
        <v>6</v>
      </c>
      <c r="J8" s="19">
        <v>3</v>
      </c>
      <c r="L8" s="3">
        <v>7</v>
      </c>
      <c r="M8" s="30">
        <v>0.83333333333333337</v>
      </c>
      <c r="N8" s="30">
        <v>0.99930555555555556</v>
      </c>
      <c r="O8" s="27" t="s">
        <v>171</v>
      </c>
      <c r="P8" s="19">
        <v>1</v>
      </c>
    </row>
    <row r="10" spans="1:18" x14ac:dyDescent="0.25">
      <c r="H10" s="3" t="s">
        <v>134</v>
      </c>
      <c r="I10" s="3" t="s">
        <v>127</v>
      </c>
    </row>
    <row r="11" spans="1:18" x14ac:dyDescent="0.25">
      <c r="H11" s="3">
        <v>0</v>
      </c>
      <c r="I11" s="3" t="s">
        <v>135</v>
      </c>
    </row>
    <row r="12" spans="1:18" x14ac:dyDescent="0.25">
      <c r="H12" s="3">
        <v>1</v>
      </c>
      <c r="I12" s="3" t="s">
        <v>136</v>
      </c>
    </row>
    <row r="14" spans="1:18" x14ac:dyDescent="0.25">
      <c r="H14" s="3" t="s">
        <v>143</v>
      </c>
      <c r="I14" s="3" t="s">
        <v>127</v>
      </c>
      <c r="J14" s="3" t="s">
        <v>180</v>
      </c>
    </row>
    <row r="15" spans="1:18" x14ac:dyDescent="0.25">
      <c r="H15" s="3">
        <v>1</v>
      </c>
      <c r="I15" s="3" t="s">
        <v>144</v>
      </c>
      <c r="J15" s="19">
        <v>1.5</v>
      </c>
    </row>
    <row r="16" spans="1:18" x14ac:dyDescent="0.25">
      <c r="H16" s="3">
        <v>2</v>
      </c>
      <c r="I16" s="3" t="s">
        <v>146</v>
      </c>
      <c r="J16" s="19">
        <v>1</v>
      </c>
    </row>
    <row r="17" spans="8:10" x14ac:dyDescent="0.25">
      <c r="H17" s="3">
        <v>3</v>
      </c>
      <c r="I17" s="3" t="s">
        <v>145</v>
      </c>
      <c r="J17" s="19">
        <v>0.5</v>
      </c>
    </row>
    <row r="19" spans="8:10" x14ac:dyDescent="0.25">
      <c r="H19" s="3" t="s">
        <v>147</v>
      </c>
      <c r="I19" s="3" t="s">
        <v>127</v>
      </c>
      <c r="J19" s="3" t="s">
        <v>180</v>
      </c>
    </row>
    <row r="20" spans="8:10" x14ac:dyDescent="0.25">
      <c r="H20" s="3">
        <v>1</v>
      </c>
      <c r="I20" s="3" t="s">
        <v>148</v>
      </c>
      <c r="J20" s="19">
        <v>0.5</v>
      </c>
    </row>
    <row r="21" spans="8:10" x14ac:dyDescent="0.25">
      <c r="H21" s="3">
        <v>2</v>
      </c>
      <c r="I21" s="3" t="s">
        <v>149</v>
      </c>
      <c r="J21" s="19">
        <v>1</v>
      </c>
    </row>
    <row r="22" spans="8:10" x14ac:dyDescent="0.25">
      <c r="H22" s="3">
        <v>3</v>
      </c>
      <c r="I22" s="3" t="s">
        <v>150</v>
      </c>
      <c r="J22" s="19">
        <v>1.5</v>
      </c>
    </row>
    <row r="23" spans="8:10" x14ac:dyDescent="0.25">
      <c r="H23" s="3">
        <v>4</v>
      </c>
      <c r="I23" s="3" t="s">
        <v>151</v>
      </c>
      <c r="J23" s="19">
        <v>2</v>
      </c>
    </row>
    <row r="24" spans="8:10" x14ac:dyDescent="0.25">
      <c r="H24" s="3">
        <v>5</v>
      </c>
      <c r="I24" s="3" t="s">
        <v>152</v>
      </c>
      <c r="J24" s="19">
        <v>2.5</v>
      </c>
    </row>
    <row r="26" spans="8:10" x14ac:dyDescent="0.25">
      <c r="H26" s="3" t="s">
        <v>156</v>
      </c>
      <c r="I26" s="3" t="s">
        <v>127</v>
      </c>
      <c r="J26" s="3" t="s">
        <v>180</v>
      </c>
    </row>
    <row r="27" spans="8:10" x14ac:dyDescent="0.25">
      <c r="H27" s="3">
        <v>1</v>
      </c>
      <c r="I27" s="14" t="s">
        <v>157</v>
      </c>
      <c r="J27" s="20">
        <v>1</v>
      </c>
    </row>
    <row r="28" spans="8:10" x14ac:dyDescent="0.25">
      <c r="H28" s="3">
        <v>2</v>
      </c>
      <c r="I28" s="3" t="s">
        <v>153</v>
      </c>
      <c r="J28" s="19">
        <v>1.5</v>
      </c>
    </row>
    <row r="29" spans="8:10" x14ac:dyDescent="0.25">
      <c r="H29" s="3">
        <v>3</v>
      </c>
      <c r="I29" s="3" t="s">
        <v>154</v>
      </c>
      <c r="J29" s="19">
        <v>2</v>
      </c>
    </row>
    <row r="30" spans="8:10" x14ac:dyDescent="0.25">
      <c r="H30" s="3">
        <v>4</v>
      </c>
      <c r="I30" s="3" t="s">
        <v>155</v>
      </c>
      <c r="J30" s="19">
        <v>0.5</v>
      </c>
    </row>
    <row r="32" spans="8:10" x14ac:dyDescent="0.25">
      <c r="H32" s="3" t="s">
        <v>158</v>
      </c>
      <c r="I32" s="3" t="s">
        <v>127</v>
      </c>
    </row>
    <row r="33" spans="8:9" x14ac:dyDescent="0.25">
      <c r="H33" s="3">
        <v>1</v>
      </c>
      <c r="I33" s="3" t="s">
        <v>159</v>
      </c>
    </row>
    <row r="34" spans="8:9" x14ac:dyDescent="0.25">
      <c r="H34" s="3">
        <v>2</v>
      </c>
      <c r="I34" s="3" t="s">
        <v>160</v>
      </c>
    </row>
  </sheetData>
  <conditionalFormatting sqref="I15:J17">
    <cfRule type="cellIs" dxfId="41" priority="22" operator="equal">
      <formula>"Larga"</formula>
    </cfRule>
    <cfRule type="cellIs" dxfId="40" priority="23" operator="equal">
      <formula>"Intermediária"</formula>
    </cfRule>
    <cfRule type="cellIs" dxfId="39" priority="24" operator="equal">
      <formula>"Estreita"</formula>
    </cfRule>
  </conditionalFormatting>
  <conditionalFormatting sqref="I20:J24">
    <cfRule type="cellIs" dxfId="38" priority="12" operator="equal">
      <formula>"Muito alto"</formula>
    </cfRule>
    <cfRule type="cellIs" dxfId="37" priority="13" operator="equal">
      <formula>"Alto"</formula>
    </cfRule>
    <cfRule type="cellIs" dxfId="36" priority="14" operator="equal">
      <formula>"Médio"</formula>
    </cfRule>
    <cfRule type="cellIs" dxfId="35" priority="15" operator="equal">
      <formula>"Baixo"</formula>
    </cfRule>
    <cfRule type="cellIs" dxfId="34" priority="16" operator="equal">
      <formula>"Muito baixo"</formula>
    </cfRule>
  </conditionalFormatting>
  <conditionalFormatting sqref="I27:J30">
    <cfRule type="cellIs" dxfId="33" priority="8" operator="equal">
      <formula>"Rodovia"</formula>
    </cfRule>
    <cfRule type="cellIs" dxfId="32" priority="9" operator="equal">
      <formula>"Arterial"</formula>
    </cfRule>
    <cfRule type="cellIs" dxfId="31" priority="10" operator="equal">
      <formula>"Coletora"</formula>
    </cfRule>
    <cfRule type="cellIs" dxfId="30" priority="11" operator="equal">
      <formula>"Residencial"</formula>
    </cfRule>
  </conditionalFormatting>
  <conditionalFormatting sqref="O2:O8">
    <cfRule type="cellIs" dxfId="29" priority="1" operator="equal">
      <formula>"Noite"</formula>
    </cfRule>
    <cfRule type="cellIs" dxfId="28" priority="2" operator="equal">
      <formula>"Pico da noite"</formula>
    </cfRule>
    <cfRule type="cellIs" dxfId="27" priority="3" operator="equal">
      <formula>"tarde"</formula>
    </cfRule>
    <cfRule type="cellIs" dxfId="26" priority="4" operator="equal">
      <formula>"almoço"</formula>
    </cfRule>
    <cfRule type="cellIs" dxfId="25" priority="5" operator="equal">
      <formula>"Manhã"</formula>
    </cfRule>
    <cfRule type="cellIs" dxfId="24" priority="6" operator="equal">
      <formula>"Pico da manhã"</formula>
    </cfRule>
    <cfRule type="cellIs" dxfId="23" priority="7" operator="equal">
      <formula>"Madrugada"</formula>
    </cfRule>
  </conditionalFormatting>
  <dataValidations count="4">
    <dataValidation type="list" allowBlank="1" showInputMessage="1" showErrorMessage="1" sqref="I15:I17" xr:uid="{542532F3-7EA7-470C-AB73-530933DD09E0}">
      <formula1>$I$15:$I$17</formula1>
    </dataValidation>
    <dataValidation type="list" allowBlank="1" showInputMessage="1" showErrorMessage="1" sqref="I20:I24" xr:uid="{15B62053-529F-47BD-9567-D9EEEAE7A571}">
      <formula1>$I$20:$I$24</formula1>
    </dataValidation>
    <dataValidation operator="greaterThan" allowBlank="1" showInputMessage="1" showErrorMessage="1" sqref="J1" xr:uid="{26F461B9-7D87-4BF8-A551-A7F4C169E049}"/>
    <dataValidation type="decimal" operator="greaterThan" allowBlank="1" showInputMessage="1" showErrorMessage="1" sqref="J2:J1048576" xr:uid="{BEFC7229-9A9D-45EA-AF51-4FAE53565046}">
      <formula1>0</formula1>
    </dataValidation>
  </dataValidations>
  <pageMargins left="0.511811024" right="0.511811024" top="0.78740157499999996" bottom="0.78740157499999996" header="0.31496062000000002" footer="0.31496062000000002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62A9-0ADC-4956-97B7-60BF1B01CD94}">
  <dimension ref="B1:L223"/>
  <sheetViews>
    <sheetView topLeftCell="A9" workbookViewId="0">
      <selection activeCell="K9" sqref="K9"/>
    </sheetView>
  </sheetViews>
  <sheetFormatPr defaultRowHeight="14.25" x14ac:dyDescent="0.2"/>
  <cols>
    <col min="1" max="1" width="2.7109375" style="21" customWidth="1"/>
    <col min="2" max="2" width="17.5703125" style="21" bestFit="1" customWidth="1"/>
    <col min="3" max="3" width="19.42578125" style="21" bestFit="1" customWidth="1"/>
    <col min="4" max="5" width="34.5703125" style="21" bestFit="1" customWidth="1"/>
    <col min="6" max="6" width="18.7109375" style="21" bestFit="1" customWidth="1"/>
    <col min="7" max="7" width="24" style="21" bestFit="1" customWidth="1"/>
    <col min="8" max="8" width="18.42578125" style="21" bestFit="1" customWidth="1"/>
    <col min="9" max="9" width="18.42578125" style="21" hidden="1" customWidth="1"/>
    <col min="10" max="10" width="19.5703125" style="21" bestFit="1" customWidth="1"/>
    <col min="11" max="12" width="13.7109375" style="21" bestFit="1" customWidth="1"/>
    <col min="13" max="16384" width="9.140625" style="21"/>
  </cols>
  <sheetData>
    <row r="1" spans="2:12" ht="15" thickBot="1" x14ac:dyDescent="0.25">
      <c r="D1" s="37"/>
    </row>
    <row r="2" spans="2:12" ht="15" x14ac:dyDescent="0.25">
      <c r="B2" s="22" t="s">
        <v>161</v>
      </c>
      <c r="C2" s="23" t="s">
        <v>160</v>
      </c>
      <c r="D2" s="37"/>
    </row>
    <row r="3" spans="2:12" ht="15" x14ac:dyDescent="0.25">
      <c r="B3" s="24" t="s">
        <v>162</v>
      </c>
      <c r="C3" s="6" t="s">
        <v>133</v>
      </c>
      <c r="D3" s="37">
        <f>VLOOKUP($C$3,Tabela5[],2,FALSE)</f>
        <v>5</v>
      </c>
    </row>
    <row r="4" spans="2:12" ht="15" x14ac:dyDescent="0.25">
      <c r="B4" s="24" t="s">
        <v>172</v>
      </c>
      <c r="C4" s="25">
        <v>0.95833333333333337</v>
      </c>
      <c r="D4" s="38" t="str">
        <f>IF(AND($C$4&gt;=Dados!$M$2,Pesos!$C$4&lt;=Dados!$N$2),Dados!$O$2,IF(AND($C$4&gt;=Dados!$M$3,Pesos!$C$4&lt;=Dados!$N$3),Dados!$O$3,IF(AND($C$4&gt;=Dados!$M$4,Pesos!$C$4&lt;=Dados!$N$4),Dados!$O$4,IF(AND($C$4&gt;=Dados!$M$5,Pesos!$C$4&lt;=Dados!$N$5),Dados!$O$5,IF(AND($C$4&gt;=Dados!$M$6,Pesos!$C$4&lt;=Dados!$N$6),Dados!$O$6,IF(AND($C$4&gt;=Dados!$M$7,Pesos!$C$4&lt;=Dados!$N$7),Dados!$O$7,Dados!$O$8))))))</f>
        <v>Noite</v>
      </c>
    </row>
    <row r="5" spans="2:12" ht="15.75" thickBot="1" x14ac:dyDescent="0.3">
      <c r="B5" s="26" t="s">
        <v>174</v>
      </c>
      <c r="C5" s="27" t="str">
        <f>D4</f>
        <v>Noite</v>
      </c>
      <c r="D5" s="37"/>
    </row>
    <row r="7" spans="2:12" ht="15" x14ac:dyDescent="0.2">
      <c r="D7" s="15" t="s">
        <v>108</v>
      </c>
      <c r="E7" s="15" t="s">
        <v>109</v>
      </c>
      <c r="F7" s="15" t="s">
        <v>117</v>
      </c>
      <c r="G7" s="15" t="s">
        <v>175</v>
      </c>
      <c r="H7" s="15" t="s">
        <v>177</v>
      </c>
      <c r="I7" s="15" t="s">
        <v>178</v>
      </c>
      <c r="J7" s="15" t="s">
        <v>179</v>
      </c>
      <c r="K7" s="15" t="s">
        <v>180</v>
      </c>
      <c r="L7" s="15" t="s">
        <v>176</v>
      </c>
    </row>
    <row r="8" spans="2:12" ht="15" x14ac:dyDescent="0.2">
      <c r="D8" s="6" t="s">
        <v>1</v>
      </c>
      <c r="E8" s="6" t="s">
        <v>97</v>
      </c>
      <c r="F8" s="6">
        <f>Vértices!C3</f>
        <v>598.35979767632921</v>
      </c>
      <c r="G8" s="16" t="str">
        <f>IF($C$2="Caminhão",Vértices!F3,"Sim")</f>
        <v>Sim</v>
      </c>
      <c r="H8" s="13" t="str">
        <f>IF(OR($C$3="Sem chuva",$I8=0), "Não",IF($D$3&gt;=Tabela12[[#This Row],[Chuva]],"Sim","Não"))</f>
        <v>Não</v>
      </c>
      <c r="I8" s="13">
        <f>VLOOKUP(Vértices!E3,Tabela5[],2,)</f>
        <v>6</v>
      </c>
      <c r="J8" s="13" t="str">
        <f>IF(AND(Vértices!$J3="Sim",OR(Pesos!$D$4="Madrugada",Pesos!$D$4="Noite")),"Via bloqueada", "Via liberada")</f>
        <v>Via liberada</v>
      </c>
      <c r="K8" s="13">
        <f>Tabela12[[#This Row],[Distância (m)]]*((1*VLOOKUP(Vértices!$G3,Tabela7[[Classificação]:[Peso]],2,FALSE)+2*VLOOKUP(Vértices!I3,Tabela9[[Classificação]:[Peso]],2,FALSE)+3*VLOOKUP(Pesos!$C$5,Tabela11[[Classificação]:[Peso]],2,FALSE)+4*VLOOKUP(Vértices!H3,Tabela8[[Classificação]:[Peso]],2,FALSE)+5*VLOOKUP($D$3,Tabela5[[Fator Chuva]:[Peso]],2,FALSE))/15)*VLOOKUP(Vértices!G3,Tabela7[[Classificação]:[Peso]],2,FALSE)*VLOOKUP(Vértices!H3,Tabela8[[Classificação]:[Peso]],2,FALSE)*VLOOKUP(Vértices!I3,Tabela9[[Classificação]:[Peso]],2,FALSE)</f>
        <v>4547.5344623401015</v>
      </c>
      <c r="L8" s="13">
        <f>IF(OR(Tabela12[[#This Row],[Vai poder passar?]]="Não",Tabela12[[#This Row],[Via Alagada?]]="Sim",Tabela12[[#This Row],[Criminalidade]]="Via bloqueada"), "Ignorar rota", Tabela12[[#This Row],[Peso]])</f>
        <v>4547.5344623401015</v>
      </c>
    </row>
    <row r="9" spans="2:12" ht="15" x14ac:dyDescent="0.2">
      <c r="D9" s="9" t="s">
        <v>1</v>
      </c>
      <c r="E9" s="9" t="s">
        <v>80</v>
      </c>
      <c r="F9" s="9">
        <f>Vértices!C4</f>
        <v>19705.306815152846</v>
      </c>
      <c r="G9" s="17" t="str">
        <f>IF($C$2="Caminhão",Vértices!F4,"Sim")</f>
        <v>Sim</v>
      </c>
      <c r="H9" s="13" t="str">
        <f>IF(OR($C$3="Sem chuva",$I9=0), "Não",IF($D$3&gt;=Tabela12[[#This Row],[Chuva]],"Sim","Não"))</f>
        <v>Sim</v>
      </c>
      <c r="I9" s="13">
        <f>VLOOKUP(Vértices!E4,Tabela5[],2,)</f>
        <v>4</v>
      </c>
      <c r="J9" s="13" t="str">
        <f>IF(AND(Vértices!$J4="Sim",OR(Pesos!$D$4="Madrugada",Pesos!$D$4="Noite")),"Via bloqueada", "Via liberada")</f>
        <v>Via liberada</v>
      </c>
      <c r="K9" s="13">
        <f>Tabela12[[#This Row],[Distância (m)]]*((1*VLOOKUP(Vértices!$G4,Tabela7[[Classificação]:[Peso]],2,FALSE)+2*VLOOKUP(Vértices!I4,Tabela9[[Classificação]:[Peso]],2,FALSE)+3*VLOOKUP(Pesos!$C$5,Tabela11[[Classificação]:[Peso]],2,FALSE)+4*VLOOKUP(Vértices!H4,Tabela8[[Classificação]:[Peso]],2,FALSE)+5*VLOOKUP($D$3,Tabela5[[Fator Chuva]:[Peso]],2,FALSE))/15)*VLOOKUP(Vértices!G4,Tabela7[[Classificação]:[Peso]],2,FALSE)*VLOOKUP(Vértices!H4,Tabela8[[Classificação]:[Peso]],2,FALSE)*VLOOKUP(Vértices!I4,Tabela9[[Classificação]:[Peso]],2,FALSE)</f>
        <v>104438.12612031007</v>
      </c>
      <c r="L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" spans="2:12" ht="15" x14ac:dyDescent="0.2">
      <c r="D10" s="6" t="s">
        <v>2</v>
      </c>
      <c r="E10" s="6" t="s">
        <v>101</v>
      </c>
      <c r="F10" s="6">
        <f>Vértices!C5</f>
        <v>1640.4942317044531</v>
      </c>
      <c r="G10" s="17" t="str">
        <f>IF($C$2="Caminhão",Vértices!F5,"Sim")</f>
        <v>Sim</v>
      </c>
      <c r="H10" s="13" t="str">
        <f>IF(OR($C$3="Sem chuva",$I10=0), "Não",IF($D$3&gt;=Tabela12[[#This Row],[Chuva]],"Sim","Não"))</f>
        <v>Sim</v>
      </c>
      <c r="I10" s="13">
        <f>VLOOKUP(Vértices!E5,Tabela5[],2,)</f>
        <v>4</v>
      </c>
      <c r="J10" s="13" t="str">
        <f>IF(AND(Vértices!$J5="Sim",OR(Pesos!$D$4="Madrugada",Pesos!$D$4="Noite")),"Via bloqueada", "Via liberada")</f>
        <v>Via liberada</v>
      </c>
      <c r="K10" s="13">
        <f>Tabela12[[#This Row],[Distância (m)]]*((1*VLOOKUP(Vértices!$G5,Tabela7[[Classificação]:[Peso]],2,FALSE)+2*VLOOKUP(Vértices!I5,Tabela9[[Classificação]:[Peso]],2,FALSE)+3*VLOOKUP(Pesos!$C$5,Tabela11[[Classificação]:[Peso]],2,FALSE)+4*VLOOKUP(Vértices!H5,Tabela8[[Classificação]:[Peso]],2,FALSE)+5*VLOOKUP($D$3,Tabela5[[Fator Chuva]:[Peso]],2,FALSE))/15)*VLOOKUP(Vértices!G5,Tabela7[[Classificação]:[Peso]],2,FALSE)*VLOOKUP(Vértices!H5,Tabela8[[Classificação]:[Peso]],2,FALSE)*VLOOKUP(Vértices!I5,Tabela9[[Classificação]:[Peso]],2,FALSE)</f>
        <v>16678.358022328604</v>
      </c>
      <c r="L1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" spans="2:12" ht="15" x14ac:dyDescent="0.2">
      <c r="D11" s="9" t="s">
        <v>2</v>
      </c>
      <c r="E11" s="9" t="s">
        <v>48</v>
      </c>
      <c r="F11" s="9">
        <f>Vértices!C6</f>
        <v>1110.7613458239955</v>
      </c>
      <c r="G11" s="17" t="str">
        <f>IF($C$2="Caminhão",Vértices!F6,"Sim")</f>
        <v>Sim</v>
      </c>
      <c r="H11" s="13" t="str">
        <f>IF(OR($C$3="Sem chuva",$I11=0), "Não",IF($D$3&gt;=Tabela12[[#This Row],[Chuva]],"Sim","Não"))</f>
        <v>Sim</v>
      </c>
      <c r="I11" s="13">
        <f>VLOOKUP(Vértices!E6,Tabela5[],2,)</f>
        <v>4</v>
      </c>
      <c r="J11" s="13" t="str">
        <f>IF(AND(Vértices!$J6="Sim",OR(Pesos!$D$4="Madrugada",Pesos!$D$4="Noite")),"Via bloqueada", "Via liberada")</f>
        <v>Via liberada</v>
      </c>
      <c r="K11" s="13">
        <f>Tabela12[[#This Row],[Distância (m)]]*((1*VLOOKUP(Vértices!$G6,Tabela7[[Classificação]:[Peso]],2,FALSE)+2*VLOOKUP(Vértices!I6,Tabela9[[Classificação]:[Peso]],2,FALSE)+3*VLOOKUP(Pesos!$C$5,Tabela11[[Classificação]:[Peso]],2,FALSE)+4*VLOOKUP(Vértices!H6,Tabela8[[Classificação]:[Peso]],2,FALSE)+5*VLOOKUP($D$3,Tabela5[[Fator Chuva]:[Peso]],2,FALSE))/15)*VLOOKUP(Vértices!G6,Tabela7[[Classificação]:[Peso]],2,FALSE)*VLOOKUP(Vértices!H6,Tabela8[[Classificação]:[Peso]],2,FALSE)*VLOOKUP(Vértices!I6,Tabela9[[Classificação]:[Peso]],2,FALSE)</f>
        <v>11292.740349210619</v>
      </c>
      <c r="L1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2" spans="2:12" ht="15" x14ac:dyDescent="0.2">
      <c r="D12" s="6" t="s">
        <v>16</v>
      </c>
      <c r="E12" s="6" t="s">
        <v>77</v>
      </c>
      <c r="F12" s="6">
        <f>Vértices!C7</f>
        <v>12083.42554104806</v>
      </c>
      <c r="G12" s="17" t="str">
        <f>IF($C$2="Caminhão",Vértices!F7,"Sim")</f>
        <v>Sim</v>
      </c>
      <c r="H12" s="13" t="str">
        <f>IF(OR($C$3="Sem chuva",$I12=0), "Não",IF($D$3&gt;=Tabela12[[#This Row],[Chuva]],"Sim","Não"))</f>
        <v>Não</v>
      </c>
      <c r="I12" s="13">
        <f>VLOOKUP(Vértices!E7,Tabela5[],2,)</f>
        <v>0</v>
      </c>
      <c r="J12" s="13" t="str">
        <f>IF(AND(Vértices!$J7="Sim",OR(Pesos!$D$4="Madrugada",Pesos!$D$4="Noite")),"Via bloqueada", "Via liberada")</f>
        <v>Via liberada</v>
      </c>
      <c r="K12" s="13">
        <f>Tabela12[[#This Row],[Distância (m)]]*((1*VLOOKUP(Vértices!$G7,Tabela7[[Classificação]:[Peso]],2,FALSE)+2*VLOOKUP(Vértices!I7,Tabela9[[Classificação]:[Peso]],2,FALSE)+3*VLOOKUP(Pesos!$C$5,Tabela11[[Classificação]:[Peso]],2,FALSE)+4*VLOOKUP(Vértices!H7,Tabela8[[Classificação]:[Peso]],2,FALSE)+5*VLOOKUP($D$3,Tabela5[[Fator Chuva]:[Peso]],2,FALSE))/15)*VLOOKUP(Vértices!G7,Tabela7[[Classificação]:[Peso]],2,FALSE)*VLOOKUP(Vértices!H7,Tabela8[[Classificação]:[Peso]],2,FALSE)*VLOOKUP(Vértices!I7,Tabela9[[Classificação]:[Peso]],2,FALSE)</f>
        <v>101500.7745448037</v>
      </c>
      <c r="L12" s="13">
        <f>IF(OR(Tabela12[[#This Row],[Vai poder passar?]]="Não",Tabela12[[#This Row],[Via Alagada?]]="Sim",Tabela12[[#This Row],[Criminalidade]]="Via bloqueada"), "Ignorar rota", Tabela12[[#This Row],[Peso]])</f>
        <v>101500.7745448037</v>
      </c>
    </row>
    <row r="13" spans="2:12" ht="15" x14ac:dyDescent="0.2">
      <c r="D13" s="9" t="s">
        <v>16</v>
      </c>
      <c r="E13" s="9" t="s">
        <v>22</v>
      </c>
      <c r="F13" s="9">
        <f>Vértices!C8</f>
        <v>6971.4893105734773</v>
      </c>
      <c r="G13" s="17" t="str">
        <f>IF($C$2="Caminhão",Vértices!F8,"Sim")</f>
        <v>Sim</v>
      </c>
      <c r="H13" s="13" t="str">
        <f>IF(OR($C$3="Sem chuva",$I13=0), "Não",IF($D$3&gt;=Tabela12[[#This Row],[Chuva]],"Sim","Não"))</f>
        <v>Não</v>
      </c>
      <c r="I13" s="13">
        <f>VLOOKUP(Vértices!E8,Tabela5[],2,)</f>
        <v>6</v>
      </c>
      <c r="J13" s="13" t="str">
        <f>IF(AND(Vértices!$J8="Sim",OR(Pesos!$D$4="Madrugada",Pesos!$D$4="Noite")),"Via bloqueada", "Via liberada")</f>
        <v>Via liberada</v>
      </c>
      <c r="K13" s="13">
        <f>Tabela12[[#This Row],[Distância (m)]]*((1*VLOOKUP(Vértices!$G8,Tabela7[[Classificação]:[Peso]],2,FALSE)+2*VLOOKUP(Vértices!I8,Tabela9[[Classificação]:[Peso]],2,FALSE)+3*VLOOKUP(Pesos!$C$5,Tabela11[[Classificação]:[Peso]],2,FALSE)+4*VLOOKUP(Vértices!H8,Tabela8[[Classificação]:[Peso]],2,FALSE)+5*VLOOKUP($D$3,Tabela5[[Fator Chuva]:[Peso]],2,FALSE))/15)*VLOOKUP(Vértices!G8,Tabela7[[Classificação]:[Peso]],2,FALSE)*VLOOKUP(Vértices!H8,Tabela8[[Classificação]:[Peso]],2,FALSE)*VLOOKUP(Vértices!I8,Tabela9[[Classificação]:[Peso]],2,FALSE)</f>
        <v>70876.807990830348</v>
      </c>
      <c r="L13" s="13">
        <f>IF(OR(Tabela12[[#This Row],[Vai poder passar?]]="Não",Tabela12[[#This Row],[Via Alagada?]]="Sim",Tabela12[[#This Row],[Criminalidade]]="Via bloqueada"), "Ignorar rota", Tabela12[[#This Row],[Peso]])</f>
        <v>70876.807990830348</v>
      </c>
    </row>
    <row r="14" spans="2:12" ht="15" x14ac:dyDescent="0.2">
      <c r="D14" s="6" t="s">
        <v>3</v>
      </c>
      <c r="E14" s="6" t="s">
        <v>77</v>
      </c>
      <c r="F14" s="6">
        <f>Vértices!C9</f>
        <v>12508.920507270643</v>
      </c>
      <c r="G14" s="17" t="str">
        <f>IF($C$2="Caminhão",Vértices!F9,"Sim")</f>
        <v>Sim</v>
      </c>
      <c r="H14" s="13" t="str">
        <f>IF(OR($C$3="Sem chuva",$I14=0), "Não",IF($D$3&gt;=Tabela12[[#This Row],[Chuva]],"Sim","Não"))</f>
        <v>Não</v>
      </c>
      <c r="I14" s="13">
        <f>VLOOKUP(Vértices!E9,Tabela5[],2,)</f>
        <v>0</v>
      </c>
      <c r="J14" s="13" t="str">
        <f>IF(AND(Vértices!$J9="Sim",OR(Pesos!$D$4="Madrugada",Pesos!$D$4="Noite")),"Via bloqueada", "Via liberada")</f>
        <v>Via liberada</v>
      </c>
      <c r="K14" s="13">
        <f>Tabela12[[#This Row],[Distância (m)]]*((1*VLOOKUP(Vértices!$G9,Tabela7[[Classificação]:[Peso]],2,FALSE)+2*VLOOKUP(Vértices!I9,Tabela9[[Classificação]:[Peso]],2,FALSE)+3*VLOOKUP(Pesos!$C$5,Tabela11[[Classificação]:[Peso]],2,FALSE)+4*VLOOKUP(Vértices!H9,Tabela8[[Classificação]:[Peso]],2,FALSE)+5*VLOOKUP($D$3,Tabela5[[Fator Chuva]:[Peso]],2,FALSE))/15)*VLOOKUP(Vértices!G9,Tabela7[[Classificação]:[Peso]],2,FALSE)*VLOOKUP(Vértices!H9,Tabela8[[Classificação]:[Peso]],2,FALSE)*VLOOKUP(Vértices!I9,Tabela9[[Classificação]:[Peso]],2,FALSE)</f>
        <v>127174.02515725153</v>
      </c>
      <c r="L14" s="13">
        <f>IF(OR(Tabela12[[#This Row],[Vai poder passar?]]="Não",Tabela12[[#This Row],[Via Alagada?]]="Sim",Tabela12[[#This Row],[Criminalidade]]="Via bloqueada"), "Ignorar rota", Tabela12[[#This Row],[Peso]])</f>
        <v>127174.02515725153</v>
      </c>
    </row>
    <row r="15" spans="2:12" ht="15" x14ac:dyDescent="0.2">
      <c r="D15" s="9" t="s">
        <v>3</v>
      </c>
      <c r="E15" s="9" t="s">
        <v>79</v>
      </c>
      <c r="F15" s="9">
        <f>Vértices!C10</f>
        <v>53538.013839164028</v>
      </c>
      <c r="G15" s="17" t="str">
        <f>IF($C$2="Caminhão",Vértices!F10,"Sim")</f>
        <v>Sim</v>
      </c>
      <c r="H15" s="13" t="str">
        <f>IF(OR($C$3="Sem chuva",$I15=0), "Não",IF($D$3&gt;=Tabela12[[#This Row],[Chuva]],"Sim","Não"))</f>
        <v>Não</v>
      </c>
      <c r="I15" s="13">
        <f>VLOOKUP(Vértices!E10,Tabela5[],2,)</f>
        <v>0</v>
      </c>
      <c r="J15" s="13" t="str">
        <f>IF(AND(Vértices!$J10="Sim",OR(Pesos!$D$4="Madrugada",Pesos!$D$4="Noite")),"Via bloqueada", "Via liberada")</f>
        <v>Via liberada</v>
      </c>
      <c r="K15" s="13">
        <f>Tabela12[[#This Row],[Distância (m)]]*((1*VLOOKUP(Vértices!$G10,Tabela7[[Classificação]:[Peso]],2,FALSE)+2*VLOOKUP(Vértices!I10,Tabela9[[Classificação]:[Peso]],2,FALSE)+3*VLOOKUP(Pesos!$C$5,Tabela11[[Classificação]:[Peso]],2,FALSE)+4*VLOOKUP(Vértices!H10,Tabela8[[Classificação]:[Peso]],2,FALSE)+5*VLOOKUP($D$3,Tabela5[[Fator Chuva]:[Peso]],2,FALSE))/15)*VLOOKUP(Vértices!G10,Tabela7[[Classificação]:[Peso]],2,FALSE)*VLOOKUP(Vértices!H10,Tabela8[[Classificação]:[Peso]],2,FALSE)*VLOOKUP(Vértices!I10,Tabela9[[Classificação]:[Peso]],2,FALSE)</f>
        <v>449719.31624897785</v>
      </c>
      <c r="L15" s="13">
        <f>IF(OR(Tabela12[[#This Row],[Vai poder passar?]]="Não",Tabela12[[#This Row],[Via Alagada?]]="Sim",Tabela12[[#This Row],[Criminalidade]]="Via bloqueada"), "Ignorar rota", Tabela12[[#This Row],[Peso]])</f>
        <v>449719.31624897785</v>
      </c>
    </row>
    <row r="16" spans="2:12" ht="15" x14ac:dyDescent="0.2">
      <c r="D16" s="6" t="s">
        <v>4</v>
      </c>
      <c r="E16" s="6" t="s">
        <v>84</v>
      </c>
      <c r="F16" s="6">
        <f>Vértices!C11</f>
        <v>1331.3165428346877</v>
      </c>
      <c r="G16" s="17" t="str">
        <f>IF($C$2="Caminhão",Vértices!F11,"Sim")</f>
        <v>Sim</v>
      </c>
      <c r="H16" s="13" t="str">
        <f>IF(OR($C$3="Sem chuva",$I16=0), "Não",IF($D$3&gt;=Tabela12[[#This Row],[Chuva]],"Sim","Não"))</f>
        <v>Não</v>
      </c>
      <c r="I16" s="13">
        <f>VLOOKUP(Vértices!E11,Tabela5[],2,)</f>
        <v>6</v>
      </c>
      <c r="J16" s="13" t="str">
        <f>IF(AND(Vértices!$J11="Sim",OR(Pesos!$D$4="Madrugada",Pesos!$D$4="Noite")),"Via bloqueada", "Via liberada")</f>
        <v>Via liberada</v>
      </c>
      <c r="K16" s="13">
        <f>Tabela12[[#This Row],[Distância (m)]]*((1*VLOOKUP(Vértices!$G11,Tabela7[[Classificação]:[Peso]],2,FALSE)+2*VLOOKUP(Vértices!I11,Tabela9[[Classificação]:[Peso]],2,FALSE)+3*VLOOKUP(Pesos!$C$5,Tabela11[[Classificação]:[Peso]],2,FALSE)+4*VLOOKUP(Vértices!H11,Tabela8[[Classificação]:[Peso]],2,FALSE)+5*VLOOKUP($D$3,Tabela5[[Fator Chuva]:[Peso]],2,FALSE))/15)*VLOOKUP(Vértices!G11,Tabela7[[Classificação]:[Peso]],2,FALSE)*VLOOKUP(Vértices!H11,Tabela8[[Classificação]:[Peso]],2,FALSE)*VLOOKUP(Vértices!I11,Tabela9[[Classificação]:[Peso]],2,FALSE)</f>
        <v>3261.7255299449844</v>
      </c>
      <c r="L16" s="13">
        <f>IF(OR(Tabela12[[#This Row],[Vai poder passar?]]="Não",Tabela12[[#This Row],[Via Alagada?]]="Sim",Tabela12[[#This Row],[Criminalidade]]="Via bloqueada"), "Ignorar rota", Tabela12[[#This Row],[Peso]])</f>
        <v>3261.7255299449844</v>
      </c>
    </row>
    <row r="17" spans="4:12" ht="15" x14ac:dyDescent="0.2">
      <c r="D17" s="9" t="s">
        <v>4</v>
      </c>
      <c r="E17" s="9" t="s">
        <v>74</v>
      </c>
      <c r="F17" s="9">
        <f>Vértices!C12</f>
        <v>16730.877444192101</v>
      </c>
      <c r="G17" s="17" t="str">
        <f>IF($C$2="Caminhão",Vértices!F12,"Sim")</f>
        <v>Sim</v>
      </c>
      <c r="H17" s="13" t="str">
        <f>IF(OR($C$3="Sem chuva",$I17=0), "Não",IF($D$3&gt;=Tabela12[[#This Row],[Chuva]],"Sim","Não"))</f>
        <v>Não</v>
      </c>
      <c r="I17" s="13">
        <f>VLOOKUP(Vértices!E12,Tabela5[],2,)</f>
        <v>6</v>
      </c>
      <c r="J17" s="13" t="str">
        <f>IF(AND(Vértices!$J12="Sim",OR(Pesos!$D$4="Madrugada",Pesos!$D$4="Noite")),"Via bloqueada", "Via liberada")</f>
        <v>Via liberada</v>
      </c>
      <c r="K17" s="13">
        <f>Tabela12[[#This Row],[Distância (m)]]*((1*VLOOKUP(Vértices!$G12,Tabela7[[Classificação]:[Peso]],2,FALSE)+2*VLOOKUP(Vértices!I12,Tabela9[[Classificação]:[Peso]],2,FALSE)+3*VLOOKUP(Pesos!$C$5,Tabela11[[Classificação]:[Peso]],2,FALSE)+4*VLOOKUP(Vértices!H12,Tabela8[[Classificação]:[Peso]],2,FALSE)+5*VLOOKUP($D$3,Tabela5[[Fator Chuva]:[Peso]],2,FALSE))/15)*VLOOKUP(Vértices!G12,Tabela7[[Classificação]:[Peso]],2,FALSE)*VLOOKUP(Vértices!H12,Tabela8[[Classificação]:[Peso]],2,FALSE)*VLOOKUP(Vértices!I12,Tabela9[[Classificação]:[Peso]],2,FALSE)</f>
        <v>170097.25401595299</v>
      </c>
      <c r="L17" s="13">
        <f>IF(OR(Tabela12[[#This Row],[Vai poder passar?]]="Não",Tabela12[[#This Row],[Via Alagada?]]="Sim",Tabela12[[#This Row],[Criminalidade]]="Via bloqueada"), "Ignorar rota", Tabela12[[#This Row],[Peso]])</f>
        <v>170097.25401595299</v>
      </c>
    </row>
    <row r="18" spans="4:12" ht="15" x14ac:dyDescent="0.2">
      <c r="D18" s="6" t="s">
        <v>5</v>
      </c>
      <c r="E18" s="6" t="s">
        <v>12</v>
      </c>
      <c r="F18" s="6">
        <f>Vértices!C13</f>
        <v>10458.088588564429</v>
      </c>
      <c r="G18" s="17" t="str">
        <f>IF($C$2="Caminhão",Vértices!F13,"Sim")</f>
        <v>Sim</v>
      </c>
      <c r="H18" s="13" t="str">
        <f>IF(OR($C$3="Sem chuva",$I18=0), "Não",IF($D$3&gt;=Tabela12[[#This Row],[Chuva]],"Sim","Não"))</f>
        <v>Não</v>
      </c>
      <c r="I18" s="13">
        <f>VLOOKUP(Vértices!E13,Tabela5[],2,)</f>
        <v>6</v>
      </c>
      <c r="J18" s="13" t="str">
        <f>IF(AND(Vértices!$J13="Sim",OR(Pesos!$D$4="Madrugada",Pesos!$D$4="Noite")),"Via bloqueada", "Via liberada")</f>
        <v>Via liberada</v>
      </c>
      <c r="K18" s="13">
        <f>Tabela12[[#This Row],[Distância (m)]]*((1*VLOOKUP(Vértices!$G13,Tabela7[[Classificação]:[Peso]],2,FALSE)+2*VLOOKUP(Vértices!I13,Tabela9[[Classificação]:[Peso]],2,FALSE)+3*VLOOKUP(Pesos!$C$5,Tabela11[[Classificação]:[Peso]],2,FALSE)+4*VLOOKUP(Vértices!H13,Tabela8[[Classificação]:[Peso]],2,FALSE)+5*VLOOKUP($D$3,Tabela5[[Fator Chuva]:[Peso]],2,FALSE))/15)*VLOOKUP(Vértices!G13,Tabela7[[Classificação]:[Peso]],2,FALSE)*VLOOKUP(Vértices!H13,Tabela8[[Classificação]:[Peso]],2,FALSE)*VLOOKUP(Vértices!I13,Tabela9[[Classificação]:[Peso]],2,FALSE)</f>
        <v>40002.188851258936</v>
      </c>
      <c r="L18" s="13">
        <f>IF(OR(Tabela12[[#This Row],[Vai poder passar?]]="Não",Tabela12[[#This Row],[Via Alagada?]]="Sim",Tabela12[[#This Row],[Criminalidade]]="Via bloqueada"), "Ignorar rota", Tabela12[[#This Row],[Peso]])</f>
        <v>40002.188851258936</v>
      </c>
    </row>
    <row r="19" spans="4:12" ht="15" x14ac:dyDescent="0.2">
      <c r="D19" s="9" t="s">
        <v>6</v>
      </c>
      <c r="E19" s="9" t="s">
        <v>88</v>
      </c>
      <c r="F19" s="9">
        <f>Vértices!C14</f>
        <v>1290.2360720071008</v>
      </c>
      <c r="G19" s="17" t="str">
        <f>IF($C$2="Caminhão",Vértices!F14,"Sim")</f>
        <v>Sim</v>
      </c>
      <c r="H19" s="13" t="str">
        <f>IF(OR($C$3="Sem chuva",$I19=0), "Não",IF($D$3&gt;=Tabela12[[#This Row],[Chuva]],"Sim","Não"))</f>
        <v>Não</v>
      </c>
      <c r="I19" s="13">
        <f>VLOOKUP(Vértices!E14,Tabela5[],2,)</f>
        <v>0</v>
      </c>
      <c r="J19" s="13" t="str">
        <f>IF(AND(Vértices!$J14="Sim",OR(Pesos!$D$4="Madrugada",Pesos!$D$4="Noite")),"Via bloqueada", "Via liberada")</f>
        <v>Via liberada</v>
      </c>
      <c r="K19" s="13">
        <f>Tabela12[[#This Row],[Distância (m)]]*((1*VLOOKUP(Vértices!$G14,Tabela7[[Classificação]:[Peso]],2,FALSE)+2*VLOOKUP(Vértices!I14,Tabela9[[Classificação]:[Peso]],2,FALSE)+3*VLOOKUP(Pesos!$C$5,Tabela11[[Classificação]:[Peso]],2,FALSE)+4*VLOOKUP(Vértices!H14,Tabela8[[Classificação]:[Peso]],2,FALSE)+5*VLOOKUP($D$3,Tabela5[[Fator Chuva]:[Peso]],2,FALSE))/15)*VLOOKUP(Vértices!G14,Tabela7[[Classificação]:[Peso]],2,FALSE)*VLOOKUP(Vértices!H14,Tabela8[[Classificação]:[Peso]],2,FALSE)*VLOOKUP(Vértices!I14,Tabela9[[Classificação]:[Peso]],2,FALSE)</f>
        <v>7547.8810212415383</v>
      </c>
      <c r="L19" s="13">
        <f>IF(OR(Tabela12[[#This Row],[Vai poder passar?]]="Não",Tabela12[[#This Row],[Via Alagada?]]="Sim",Tabela12[[#This Row],[Criminalidade]]="Via bloqueada"), "Ignorar rota", Tabela12[[#This Row],[Peso]])</f>
        <v>7547.8810212415383</v>
      </c>
    </row>
    <row r="20" spans="4:12" ht="15" x14ac:dyDescent="0.2">
      <c r="D20" s="6" t="s">
        <v>6</v>
      </c>
      <c r="E20" s="6" t="s">
        <v>35</v>
      </c>
      <c r="F20" s="6">
        <f>Vértices!C15</f>
        <v>17379.043467481028</v>
      </c>
      <c r="G20" s="17" t="str">
        <f>IF($C$2="Caminhão",Vértices!F15,"Sim")</f>
        <v>Sim</v>
      </c>
      <c r="H20" s="13" t="str">
        <f>IF(OR($C$3="Sem chuva",$I20=0), "Não",IF($D$3&gt;=Tabela12[[#This Row],[Chuva]],"Sim","Não"))</f>
        <v>Sim</v>
      </c>
      <c r="I20" s="13">
        <f>VLOOKUP(Vértices!E15,Tabela5[],2,)</f>
        <v>5</v>
      </c>
      <c r="J20" s="13" t="str">
        <f>IF(AND(Vértices!$J15="Sim",OR(Pesos!$D$4="Madrugada",Pesos!$D$4="Noite")),"Via bloqueada", "Via liberada")</f>
        <v>Via liberada</v>
      </c>
      <c r="K20" s="13">
        <f>Tabela12[[#This Row],[Distância (m)]]*((1*VLOOKUP(Vértices!$G15,Tabela7[[Classificação]:[Peso]],2,FALSE)+2*VLOOKUP(Vértices!I15,Tabela9[[Classificação]:[Peso]],2,FALSE)+3*VLOOKUP(Pesos!$C$5,Tabela11[[Classificação]:[Peso]],2,FALSE)+4*VLOOKUP(Vértices!H15,Tabela8[[Classificação]:[Peso]],2,FALSE)+5*VLOOKUP($D$3,Tabela5[[Fator Chuva]:[Peso]],2,FALSE))/15)*VLOOKUP(Vértices!G15,Tabela7[[Classificação]:[Peso]],2,FALSE)*VLOOKUP(Vértices!H15,Tabela8[[Classificação]:[Peso]],2,FALSE)*VLOOKUP(Vértices!I15,Tabela9[[Classificação]:[Peso]],2,FALSE)</f>
        <v>101667.40428476402</v>
      </c>
      <c r="L2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" spans="4:12" ht="15" x14ac:dyDescent="0.2">
      <c r="D21" s="9" t="s">
        <v>6</v>
      </c>
      <c r="E21" s="9" t="s">
        <v>31</v>
      </c>
      <c r="F21" s="9">
        <f>Vértices!C16</f>
        <v>18063.233309056312</v>
      </c>
      <c r="G21" s="17" t="str">
        <f>IF($C$2="Caminhão",Vértices!F16,"Sim")</f>
        <v>Sim</v>
      </c>
      <c r="H21" s="13" t="str">
        <f>IF(OR($C$3="Sem chuva",$I21=0), "Não",IF($D$3&gt;=Tabela12[[#This Row],[Chuva]],"Sim","Não"))</f>
        <v>Não</v>
      </c>
      <c r="I21" s="13">
        <f>VLOOKUP(Vértices!E16,Tabela5[],2,)</f>
        <v>0</v>
      </c>
      <c r="J21" s="13" t="str">
        <f>IF(AND(Vértices!$J16="Sim",OR(Pesos!$D$4="Madrugada",Pesos!$D$4="Noite")),"Via bloqueada", "Via liberada")</f>
        <v>Via liberada</v>
      </c>
      <c r="K21" s="13">
        <f>Tabela12[[#This Row],[Distância (m)]]*((1*VLOOKUP(Vértices!$G16,Tabela7[[Classificação]:[Peso]],2,FALSE)+2*VLOOKUP(Vértices!I16,Tabela9[[Classificação]:[Peso]],2,FALSE)+3*VLOOKUP(Pesos!$C$5,Tabela11[[Classificação]:[Peso]],2,FALSE)+4*VLOOKUP(Vértices!H16,Tabela8[[Classificação]:[Peso]],2,FALSE)+5*VLOOKUP($D$3,Tabela5[[Fator Chuva]:[Peso]],2,FALSE))/15)*VLOOKUP(Vértices!G16,Tabela7[[Classificação]:[Peso]],2,FALSE)*VLOOKUP(Vértices!H16,Tabela8[[Classificação]:[Peso]],2,FALSE)*VLOOKUP(Vértices!I16,Tabela9[[Classificação]:[Peso]],2,FALSE)</f>
        <v>65027.639912602725</v>
      </c>
      <c r="L21" s="13">
        <f>IF(OR(Tabela12[[#This Row],[Vai poder passar?]]="Não",Tabela12[[#This Row],[Via Alagada?]]="Sim",Tabela12[[#This Row],[Criminalidade]]="Via bloqueada"), "Ignorar rota", Tabela12[[#This Row],[Peso]])</f>
        <v>65027.639912602725</v>
      </c>
    </row>
    <row r="22" spans="4:12" ht="15" x14ac:dyDescent="0.2">
      <c r="D22" s="6" t="s">
        <v>7</v>
      </c>
      <c r="E22" s="6" t="s">
        <v>3</v>
      </c>
      <c r="F22" s="6">
        <f>Vértices!C17</f>
        <v>5247.4435469486871</v>
      </c>
      <c r="G22" s="17" t="str">
        <f>IF($C$2="Caminhão",Vértices!F17,"Sim")</f>
        <v>Sim</v>
      </c>
      <c r="H22" s="13" t="str">
        <f>IF(OR($C$3="Sem chuva",$I22=0), "Não",IF($D$3&gt;=Tabela12[[#This Row],[Chuva]],"Sim","Não"))</f>
        <v>Não</v>
      </c>
      <c r="I22" s="13">
        <f>VLOOKUP(Vértices!E17,Tabela5[],2,)</f>
        <v>0</v>
      </c>
      <c r="J22" s="13" t="str">
        <f>IF(AND(Vértices!$J17="Sim",OR(Pesos!$D$4="Madrugada",Pesos!$D$4="Noite")),"Via bloqueada", "Via liberada")</f>
        <v>Via liberada</v>
      </c>
      <c r="K22" s="13">
        <f>Tabela12[[#This Row],[Distância (m)]]*((1*VLOOKUP(Vértices!$G17,Tabela7[[Classificação]:[Peso]],2,FALSE)+2*VLOOKUP(Vértices!I17,Tabela9[[Classificação]:[Peso]],2,FALSE)+3*VLOOKUP(Pesos!$C$5,Tabela11[[Classificação]:[Peso]],2,FALSE)+4*VLOOKUP(Vértices!H17,Tabela8[[Classificação]:[Peso]],2,FALSE)+5*VLOOKUP($D$3,Tabela5[[Fator Chuva]:[Peso]],2,FALSE))/15)*VLOOKUP(Vértices!G17,Tabela7[[Classificação]:[Peso]],2,FALSE)*VLOOKUP(Vértices!H17,Tabela8[[Classificação]:[Peso]],2,FALSE)*VLOOKUP(Vértices!I17,Tabela9[[Classificação]:[Peso]],2,FALSE)</f>
        <v>38699.896158746567</v>
      </c>
      <c r="L22" s="13">
        <f>IF(OR(Tabela12[[#This Row],[Vai poder passar?]]="Não",Tabela12[[#This Row],[Via Alagada?]]="Sim",Tabela12[[#This Row],[Criminalidade]]="Via bloqueada"), "Ignorar rota", Tabela12[[#This Row],[Peso]])</f>
        <v>38699.896158746567</v>
      </c>
    </row>
    <row r="23" spans="4:12" ht="15" x14ac:dyDescent="0.2">
      <c r="D23" s="9" t="s">
        <v>8</v>
      </c>
      <c r="E23" s="9" t="s">
        <v>9</v>
      </c>
      <c r="F23" s="9">
        <f>Vértices!C18</f>
        <v>74916.928290066062</v>
      </c>
      <c r="G23" s="17" t="str">
        <f>IF($C$2="Caminhão",Vértices!F18,"Sim")</f>
        <v>Sim</v>
      </c>
      <c r="H23" s="13" t="str">
        <f>IF(OR($C$3="Sem chuva",$I23=0), "Não",IF($D$3&gt;=Tabela12[[#This Row],[Chuva]],"Sim","Não"))</f>
        <v>Não</v>
      </c>
      <c r="I23" s="13">
        <f>VLOOKUP(Vértices!E18,Tabela5[],2,)</f>
        <v>0</v>
      </c>
      <c r="J23" s="13" t="str">
        <f>IF(AND(Vértices!$J18="Sim",OR(Pesos!$D$4="Madrugada",Pesos!$D$4="Noite")),"Via bloqueada", "Via liberada")</f>
        <v>Via liberada</v>
      </c>
      <c r="K23" s="13">
        <f>Tabela12[[#This Row],[Distância (m)]]*((1*VLOOKUP(Vértices!$G18,Tabela7[[Classificação]:[Peso]],2,FALSE)+2*VLOOKUP(Vértices!I18,Tabela9[[Classificação]:[Peso]],2,FALSE)+3*VLOOKUP(Pesos!$C$5,Tabela11[[Classificação]:[Peso]],2,FALSE)+4*VLOOKUP(Vértices!H18,Tabela8[[Classificação]:[Peso]],2,FALSE)+5*VLOOKUP($D$3,Tabela5[[Fator Chuva]:[Peso]],2,FALSE))/15)*VLOOKUP(Vértices!G18,Tabela7[[Classificação]:[Peso]],2,FALSE)*VLOOKUP(Vértices!H18,Tabela8[[Classificação]:[Peso]],2,FALSE)*VLOOKUP(Vértices!I18,Tabela9[[Classificação]:[Peso]],2,FALSE)</f>
        <v>629302.19763655495</v>
      </c>
      <c r="L23" s="13">
        <f>IF(OR(Tabela12[[#This Row],[Vai poder passar?]]="Não",Tabela12[[#This Row],[Via Alagada?]]="Sim",Tabela12[[#This Row],[Criminalidade]]="Via bloqueada"), "Ignorar rota", Tabela12[[#This Row],[Peso]])</f>
        <v>629302.19763655495</v>
      </c>
    </row>
    <row r="24" spans="4:12" ht="15" x14ac:dyDescent="0.2">
      <c r="D24" s="6" t="s">
        <v>8</v>
      </c>
      <c r="E24" s="6" t="s">
        <v>57</v>
      </c>
      <c r="F24" s="6">
        <f>Vértices!C19</f>
        <v>100206.26605234537</v>
      </c>
      <c r="G24" s="17" t="str">
        <f>IF($C$2="Caminhão",Vértices!F19,"Sim")</f>
        <v>Sim</v>
      </c>
      <c r="H24" s="13" t="str">
        <f>IF(OR($C$3="Sem chuva",$I24=0), "Não",IF($D$3&gt;=Tabela12[[#This Row],[Chuva]],"Sim","Não"))</f>
        <v>Não</v>
      </c>
      <c r="I24" s="13">
        <f>VLOOKUP(Vértices!E19,Tabela5[],2,)</f>
        <v>6</v>
      </c>
      <c r="J24" s="13" t="str">
        <f>IF(AND(Vértices!$J19="Sim",OR(Pesos!$D$4="Madrugada",Pesos!$D$4="Noite")),"Via bloqueada", "Via liberada")</f>
        <v>Via liberada</v>
      </c>
      <c r="K24" s="13">
        <f>Tabela12[[#This Row],[Distância (m)]]*((1*VLOOKUP(Vértices!$G19,Tabela7[[Classificação]:[Peso]],2,FALSE)+2*VLOOKUP(Vértices!I19,Tabela9[[Classificação]:[Peso]],2,FALSE)+3*VLOOKUP(Pesos!$C$5,Tabela11[[Classificação]:[Peso]],2,FALSE)+4*VLOOKUP(Vértices!H19,Tabela8[[Classificação]:[Peso]],2,FALSE)+5*VLOOKUP($D$3,Tabela5[[Fator Chuva]:[Peso]],2,FALSE))/15)*VLOOKUP(Vértices!G19,Tabela7[[Classificação]:[Peso]],2,FALSE)*VLOOKUP(Vértices!H19,Tabela8[[Classificação]:[Peso]],2,FALSE)*VLOOKUP(Vértices!I19,Tabela9[[Classificação]:[Peso]],2,FALSE)</f>
        <v>551134.4632878995</v>
      </c>
      <c r="L24" s="13">
        <f>IF(OR(Tabela12[[#This Row],[Vai poder passar?]]="Não",Tabela12[[#This Row],[Via Alagada?]]="Sim",Tabela12[[#This Row],[Criminalidade]]="Via bloqueada"), "Ignorar rota", Tabela12[[#This Row],[Peso]])</f>
        <v>551134.4632878995</v>
      </c>
    </row>
    <row r="25" spans="4:12" ht="15" x14ac:dyDescent="0.2">
      <c r="D25" s="9" t="s">
        <v>9</v>
      </c>
      <c r="E25" s="9" t="s">
        <v>8</v>
      </c>
      <c r="F25" s="9">
        <f>Vértices!C20</f>
        <v>74916.928290066062</v>
      </c>
      <c r="G25" s="17" t="str">
        <f>IF($C$2="Caminhão",Vértices!F20,"Sim")</f>
        <v>Sim</v>
      </c>
      <c r="H25" s="13" t="str">
        <f>IF(OR($C$3="Sem chuva",$I25=0), "Não",IF($D$3&gt;=Tabela12[[#This Row],[Chuva]],"Sim","Não"))</f>
        <v>Não</v>
      </c>
      <c r="I25" s="13">
        <f>VLOOKUP(Vértices!E20,Tabela5[],2,)</f>
        <v>0</v>
      </c>
      <c r="J25" s="13" t="str">
        <f>IF(AND(Vértices!$J20="Sim",OR(Pesos!$D$4="Madrugada",Pesos!$D$4="Noite")),"Via bloqueada", "Via liberada")</f>
        <v>Via liberada</v>
      </c>
      <c r="K25" s="13">
        <f>Tabela12[[#This Row],[Distância (m)]]*((1*VLOOKUP(Vértices!$G20,Tabela7[[Classificação]:[Peso]],2,FALSE)+2*VLOOKUP(Vértices!I20,Tabela9[[Classificação]:[Peso]],2,FALSE)+3*VLOOKUP(Pesos!$C$5,Tabela11[[Classificação]:[Peso]],2,FALSE)+4*VLOOKUP(Vértices!H20,Tabela8[[Classificação]:[Peso]],2,FALSE)+5*VLOOKUP($D$3,Tabela5[[Fator Chuva]:[Peso]],2,FALSE))/15)*VLOOKUP(Vértices!G20,Tabela7[[Classificação]:[Peso]],2,FALSE)*VLOOKUP(Vértices!H20,Tabela8[[Classificação]:[Peso]],2,FALSE)*VLOOKUP(Vértices!I20,Tabela9[[Classificação]:[Peso]],2,FALSE)</f>
        <v>629302.19763655495</v>
      </c>
      <c r="L25" s="13">
        <f>IF(OR(Tabela12[[#This Row],[Vai poder passar?]]="Não",Tabela12[[#This Row],[Via Alagada?]]="Sim",Tabela12[[#This Row],[Criminalidade]]="Via bloqueada"), "Ignorar rota", Tabela12[[#This Row],[Peso]])</f>
        <v>629302.19763655495</v>
      </c>
    </row>
    <row r="26" spans="4:12" ht="15" x14ac:dyDescent="0.2">
      <c r="D26" s="6" t="s">
        <v>10</v>
      </c>
      <c r="E26" s="6" t="s">
        <v>59</v>
      </c>
      <c r="F26" s="6">
        <f>Vértices!C21</f>
        <v>39935.660237081509</v>
      </c>
      <c r="G26" s="17" t="str">
        <f>IF($C$2="Caminhão",Vértices!F21,"Sim")</f>
        <v>Sim</v>
      </c>
      <c r="H26" s="13" t="str">
        <f>IF(OR($C$3="Sem chuva",$I26=0), "Não",IF($D$3&gt;=Tabela12[[#This Row],[Chuva]],"Sim","Não"))</f>
        <v>Não</v>
      </c>
      <c r="I26" s="13">
        <f>VLOOKUP(Vértices!E21,Tabela5[],2,)</f>
        <v>0</v>
      </c>
      <c r="J26" s="13" t="str">
        <f>IF(AND(Vértices!$J21="Sim",OR(Pesos!$D$4="Madrugada",Pesos!$D$4="Noite")),"Via bloqueada", "Via liberada")</f>
        <v>Via liberada</v>
      </c>
      <c r="K26" s="13">
        <f>Tabela12[[#This Row],[Distância (m)]]*((1*VLOOKUP(Vértices!$G21,Tabela7[[Classificação]:[Peso]],2,FALSE)+2*VLOOKUP(Vértices!I21,Tabela9[[Classificação]:[Peso]],2,FALSE)+3*VLOOKUP(Pesos!$C$5,Tabela11[[Classificação]:[Peso]],2,FALSE)+4*VLOOKUP(Vértices!H21,Tabela8[[Classificação]:[Peso]],2,FALSE)+5*VLOOKUP($D$3,Tabela5[[Fator Chuva]:[Peso]],2,FALSE))/15)*VLOOKUP(Vértices!G21,Tabela7[[Classificação]:[Peso]],2,FALSE)*VLOOKUP(Vértices!H21,Tabela8[[Classificação]:[Peso]],2,FALSE)*VLOOKUP(Vértices!I21,Tabela9[[Classificação]:[Peso]],2,FALSE)</f>
        <v>233623.61238692683</v>
      </c>
      <c r="L26" s="13">
        <f>IF(OR(Tabela12[[#This Row],[Vai poder passar?]]="Não",Tabela12[[#This Row],[Via Alagada?]]="Sim",Tabela12[[#This Row],[Criminalidade]]="Via bloqueada"), "Ignorar rota", Tabela12[[#This Row],[Peso]])</f>
        <v>233623.61238692683</v>
      </c>
    </row>
    <row r="27" spans="4:12" ht="15" x14ac:dyDescent="0.2">
      <c r="D27" s="9" t="s">
        <v>10</v>
      </c>
      <c r="E27" s="9" t="s">
        <v>47</v>
      </c>
      <c r="F27" s="9">
        <f>Vértices!C22</f>
        <v>17619.429947195829</v>
      </c>
      <c r="G27" s="17" t="str">
        <f>IF($C$2="Caminhão",Vértices!F22,"Sim")</f>
        <v>Não</v>
      </c>
      <c r="H27" s="13" t="str">
        <f>IF(OR($C$3="Sem chuva",$I27=0), "Não",IF($D$3&gt;=Tabela12[[#This Row],[Chuva]],"Sim","Não"))</f>
        <v>Não</v>
      </c>
      <c r="I27" s="13">
        <f>VLOOKUP(Vértices!E22,Tabela5[],2,)</f>
        <v>0</v>
      </c>
      <c r="J27" s="13" t="str">
        <f>IF(AND(Vértices!$J22="Sim",OR(Pesos!$D$4="Madrugada",Pesos!$D$4="Noite")),"Via bloqueada", "Via liberada")</f>
        <v>Via liberada</v>
      </c>
      <c r="K27" s="13">
        <f>Tabela12[[#This Row],[Distância (m)]]*((1*VLOOKUP(Vértices!$G22,Tabela7[[Classificação]:[Peso]],2,FALSE)+2*VLOOKUP(Vértices!I22,Tabela9[[Classificação]:[Peso]],2,FALSE)+3*VLOOKUP(Pesos!$C$5,Tabela11[[Classificação]:[Peso]],2,FALSE)+4*VLOOKUP(Vértices!H22,Tabela8[[Classificação]:[Peso]],2,FALSE)+5*VLOOKUP($D$3,Tabela5[[Fator Chuva]:[Peso]],2,FALSE))/15)*VLOOKUP(Vértices!G22,Tabela7[[Classificação]:[Peso]],2,FALSE)*VLOOKUP(Vértices!H22,Tabela8[[Classificação]:[Peso]],2,FALSE)*VLOOKUP(Vértices!I22,Tabela9[[Classificação]:[Peso]],2,FALSE)</f>
        <v>40524.688878550412</v>
      </c>
      <c r="L2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8" spans="4:12" ht="15" x14ac:dyDescent="0.2">
      <c r="D28" s="6" t="s">
        <v>10</v>
      </c>
      <c r="E28" s="6" t="s">
        <v>68</v>
      </c>
      <c r="F28" s="6">
        <f>Vértices!C23</f>
        <v>66631.7364186911</v>
      </c>
      <c r="G28" s="17" t="str">
        <f>IF($C$2="Caminhão",Vértices!F23,"Sim")</f>
        <v>Sim</v>
      </c>
      <c r="H28" s="13" t="str">
        <f>IF(OR($C$3="Sem chuva",$I28=0), "Não",IF($D$3&gt;=Tabela12[[#This Row],[Chuva]],"Sim","Não"))</f>
        <v>Sim</v>
      </c>
      <c r="I28" s="13">
        <f>VLOOKUP(Vértices!E23,Tabela5[],2,)</f>
        <v>5</v>
      </c>
      <c r="J28" s="13" t="str">
        <f>IF(AND(Vértices!$J23="Sim",OR(Pesos!$D$4="Madrugada",Pesos!$D$4="Noite")),"Via bloqueada", "Via liberada")</f>
        <v>Via liberada</v>
      </c>
      <c r="K28" s="13">
        <f>Tabela12[[#This Row],[Distância (m)]]*((1*VLOOKUP(Vértices!$G23,Tabela7[[Classificação]:[Peso]],2,FALSE)+2*VLOOKUP(Vértices!I23,Tabela9[[Classificação]:[Peso]],2,FALSE)+3*VLOOKUP(Pesos!$C$5,Tabela11[[Classificação]:[Peso]],2,FALSE)+4*VLOOKUP(Vértices!H23,Tabela8[[Classificação]:[Peso]],2,FALSE)+5*VLOOKUP($D$3,Tabela5[[Fator Chuva]:[Peso]],2,FALSE))/15)*VLOOKUP(Vértices!G23,Tabela7[[Classificação]:[Peso]],2,FALSE)*VLOOKUP(Vértices!H23,Tabela8[[Classificação]:[Peso]],2,FALSE)*VLOOKUP(Vértices!I23,Tabela9[[Classificação]:[Peso]],2,FALSE)</f>
        <v>389795.65804934292</v>
      </c>
      <c r="L2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9" spans="4:12" ht="15" x14ac:dyDescent="0.2">
      <c r="D29" s="9" t="s">
        <v>11</v>
      </c>
      <c r="E29" s="9" t="s">
        <v>12</v>
      </c>
      <c r="F29" s="9">
        <f>Vértices!C24</f>
        <v>159747.79509577109</v>
      </c>
      <c r="G29" s="17" t="str">
        <f>IF($C$2="Caminhão",Vértices!F24,"Sim")</f>
        <v>Não</v>
      </c>
      <c r="H29" s="13" t="str">
        <f>IF(OR($C$3="Sem chuva",$I29=0), "Não",IF($D$3&gt;=Tabela12[[#This Row],[Chuva]],"Sim","Não"))</f>
        <v>Não</v>
      </c>
      <c r="I29" s="13">
        <f>VLOOKUP(Vértices!E24,Tabela5[],2,)</f>
        <v>6</v>
      </c>
      <c r="J29" s="13" t="str">
        <f>IF(AND(Vértices!$J24="Sim",OR(Pesos!$D$4="Madrugada",Pesos!$D$4="Noite")),"Via bloqueada", "Via liberada")</f>
        <v>Via bloqueada</v>
      </c>
      <c r="K29" s="13">
        <f>Tabela12[[#This Row],[Distância (m)]]*((1*VLOOKUP(Vértices!$G24,Tabela7[[Classificação]:[Peso]],2,FALSE)+2*VLOOKUP(Vértices!I24,Tabela9[[Classificação]:[Peso]],2,FALSE)+3*VLOOKUP(Pesos!$C$5,Tabela11[[Classificação]:[Peso]],2,FALSE)+4*VLOOKUP(Vértices!H24,Tabela8[[Classificação]:[Peso]],2,FALSE)+5*VLOOKUP($D$3,Tabela5[[Fator Chuva]:[Peso]],2,FALSE))/15)*VLOOKUP(Vértices!G24,Tabela7[[Classificação]:[Peso]],2,FALSE)*VLOOKUP(Vértices!H24,Tabela8[[Classificação]:[Peso]],2,FALSE)*VLOOKUP(Vértices!I24,Tabela9[[Classificação]:[Peso]],2,FALSE)</f>
        <v>167735.18485055963</v>
      </c>
      <c r="L2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0" spans="4:12" ht="15" x14ac:dyDescent="0.2">
      <c r="D30" s="6" t="s">
        <v>12</v>
      </c>
      <c r="E30" s="6" t="s">
        <v>11</v>
      </c>
      <c r="F30" s="6">
        <f>Vértices!C25</f>
        <v>159747.79509577109</v>
      </c>
      <c r="G30" s="17" t="str">
        <f>IF($C$2="Caminhão",Vértices!F25,"Sim")</f>
        <v>Não</v>
      </c>
      <c r="H30" s="13" t="str">
        <f>IF(OR($C$3="Sem chuva",$I30=0), "Não",IF($D$3&gt;=Tabela12[[#This Row],[Chuva]],"Sim","Não"))</f>
        <v>Não</v>
      </c>
      <c r="I30" s="13">
        <f>VLOOKUP(Vértices!E25,Tabela5[],2,)</f>
        <v>6</v>
      </c>
      <c r="J30" s="13" t="str">
        <f>IF(AND(Vértices!$J25="Sim",OR(Pesos!$D$4="Madrugada",Pesos!$D$4="Noite")),"Via bloqueada", "Via liberada")</f>
        <v>Via bloqueada</v>
      </c>
      <c r="K30" s="13">
        <f>Tabela12[[#This Row],[Distância (m)]]*((1*VLOOKUP(Vértices!$G25,Tabela7[[Classificação]:[Peso]],2,FALSE)+2*VLOOKUP(Vértices!I25,Tabela9[[Classificação]:[Peso]],2,FALSE)+3*VLOOKUP(Pesos!$C$5,Tabela11[[Classificação]:[Peso]],2,FALSE)+4*VLOOKUP(Vértices!H25,Tabela8[[Classificação]:[Peso]],2,FALSE)+5*VLOOKUP($D$3,Tabela5[[Fator Chuva]:[Peso]],2,FALSE))/15)*VLOOKUP(Vértices!G25,Tabela7[[Classificação]:[Peso]],2,FALSE)*VLOOKUP(Vértices!H25,Tabela8[[Classificação]:[Peso]],2,FALSE)*VLOOKUP(Vértices!I25,Tabela9[[Classificação]:[Peso]],2,FALSE)</f>
        <v>167735.18485055963</v>
      </c>
      <c r="L3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1" spans="4:12" ht="15" x14ac:dyDescent="0.2">
      <c r="D31" s="9" t="s">
        <v>12</v>
      </c>
      <c r="E31" s="9" t="s">
        <v>60</v>
      </c>
      <c r="F31" s="9">
        <f>Vértices!C26</f>
        <v>4425.7981520012263</v>
      </c>
      <c r="G31" s="17" t="str">
        <f>IF($C$2="Caminhão",Vértices!F26,"Sim")</f>
        <v>Sim</v>
      </c>
      <c r="H31" s="13" t="str">
        <f>IF(OR($C$3="Sem chuva",$I31=0), "Não",IF($D$3&gt;=Tabela12[[#This Row],[Chuva]],"Sim","Não"))</f>
        <v>Não</v>
      </c>
      <c r="I31" s="13">
        <f>VLOOKUP(Vértices!E26,Tabela5[],2,)</f>
        <v>6</v>
      </c>
      <c r="J31" s="13" t="str">
        <f>IF(AND(Vértices!$J26="Sim",OR(Pesos!$D$4="Madrugada",Pesos!$D$4="Noite")),"Via bloqueada", "Via liberada")</f>
        <v>Via liberada</v>
      </c>
      <c r="K31" s="13">
        <f>Tabela12[[#This Row],[Distância (m)]]*((1*VLOOKUP(Vértices!$G26,Tabela7[[Classificação]:[Peso]],2,FALSE)+2*VLOOKUP(Vértices!I26,Tabela9[[Classificação]:[Peso]],2,FALSE)+3*VLOOKUP(Pesos!$C$5,Tabela11[[Classificação]:[Peso]],2,FALSE)+4*VLOOKUP(Vértices!H26,Tabela8[[Classificação]:[Peso]],2,FALSE)+5*VLOOKUP($D$3,Tabela5[[Fator Chuva]:[Peso]],2,FALSE))/15)*VLOOKUP(Vértices!G26,Tabela7[[Classificação]:[Peso]],2,FALSE)*VLOOKUP(Vértices!H26,Tabela8[[Classificação]:[Peso]],2,FALSE)*VLOOKUP(Vértices!I26,Tabela9[[Classificação]:[Peso]],2,FALSE)</f>
        <v>16928.677931404691</v>
      </c>
      <c r="L31" s="13">
        <f>IF(OR(Tabela12[[#This Row],[Vai poder passar?]]="Não",Tabela12[[#This Row],[Via Alagada?]]="Sim",Tabela12[[#This Row],[Criminalidade]]="Via bloqueada"), "Ignorar rota", Tabela12[[#This Row],[Peso]])</f>
        <v>16928.677931404691</v>
      </c>
    </row>
    <row r="32" spans="4:12" ht="15" x14ac:dyDescent="0.2">
      <c r="D32" s="6" t="s">
        <v>13</v>
      </c>
      <c r="E32" s="6" t="s">
        <v>42</v>
      </c>
      <c r="F32" s="6">
        <f>Vértices!C27</f>
        <v>13449.316566020203</v>
      </c>
      <c r="G32" s="17" t="str">
        <f>IF($C$2="Caminhão",Vértices!F27,"Sim")</f>
        <v>Não</v>
      </c>
      <c r="H32" s="13" t="str">
        <f>IF(OR($C$3="Sem chuva",$I32=0), "Não",IF($D$3&gt;=Tabela12[[#This Row],[Chuva]],"Sim","Não"))</f>
        <v>Não</v>
      </c>
      <c r="I32" s="13">
        <f>VLOOKUP(Vértices!E27,Tabela5[],2,)</f>
        <v>0</v>
      </c>
      <c r="J32" s="13" t="str">
        <f>IF(AND(Vértices!$J27="Sim",OR(Pesos!$D$4="Madrugada",Pesos!$D$4="Noite")),"Via bloqueada", "Via liberada")</f>
        <v>Via liberada</v>
      </c>
      <c r="K32" s="13">
        <f>Tabela12[[#This Row],[Distância (m)]]*((1*VLOOKUP(Vértices!$G27,Tabela7[[Classificação]:[Peso]],2,FALSE)+2*VLOOKUP(Vértices!I27,Tabela9[[Classificação]:[Peso]],2,FALSE)+3*VLOOKUP(Pesos!$C$5,Tabela11[[Classificação]:[Peso]],2,FALSE)+4*VLOOKUP(Vértices!H27,Tabela8[[Classificação]:[Peso]],2,FALSE)+5*VLOOKUP($D$3,Tabela5[[Fator Chuva]:[Peso]],2,FALSE))/15)*VLOOKUP(Vértices!G27,Tabela7[[Classificação]:[Peso]],2,FALSE)*VLOOKUP(Vértices!H27,Tabela8[[Classificação]:[Peso]],2,FALSE)*VLOOKUP(Vértices!I27,Tabela9[[Classificação]:[Peso]],2,FALSE)</f>
        <v>14121.782394321212</v>
      </c>
      <c r="L3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3" spans="4:12" ht="15" x14ac:dyDescent="0.2">
      <c r="D33" s="9" t="s">
        <v>13</v>
      </c>
      <c r="E33" s="9" t="s">
        <v>72</v>
      </c>
      <c r="F33" s="9">
        <f>Vértices!C28</f>
        <v>12475.028900459785</v>
      </c>
      <c r="G33" s="17" t="str">
        <f>IF($C$2="Caminhão",Vértices!F28,"Sim")</f>
        <v>Não</v>
      </c>
      <c r="H33" s="13" t="str">
        <f>IF(OR($C$3="Sem chuva",$I33=0), "Não",IF($D$3&gt;=Tabela12[[#This Row],[Chuva]],"Sim","Não"))</f>
        <v>Não</v>
      </c>
      <c r="I33" s="13">
        <f>VLOOKUP(Vértices!E28,Tabela5[],2,)</f>
        <v>0</v>
      </c>
      <c r="J33" s="13" t="str">
        <f>IF(AND(Vértices!$J28="Sim",OR(Pesos!$D$4="Madrugada",Pesos!$D$4="Noite")),"Via bloqueada", "Via liberada")</f>
        <v>Via liberada</v>
      </c>
      <c r="K33" s="13">
        <f>Tabela12[[#This Row],[Distância (m)]]*((1*VLOOKUP(Vértices!$G28,Tabela7[[Classificação]:[Peso]],2,FALSE)+2*VLOOKUP(Vértices!I28,Tabela9[[Classificação]:[Peso]],2,FALSE)+3*VLOOKUP(Pesos!$C$5,Tabela11[[Classificação]:[Peso]],2,FALSE)+4*VLOOKUP(Vértices!H28,Tabela8[[Classificação]:[Peso]],2,FALSE)+5*VLOOKUP($D$3,Tabela5[[Fator Chuva]:[Peso]],2,FALSE))/15)*VLOOKUP(Vértices!G28,Tabela7[[Classificação]:[Peso]],2,FALSE)*VLOOKUP(Vértices!H28,Tabela8[[Classificação]:[Peso]],2,FALSE)*VLOOKUP(Vértices!I28,Tabela9[[Classificação]:[Peso]],2,FALSE)</f>
        <v>72978.919067689741</v>
      </c>
      <c r="L3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4" spans="4:12" ht="15" x14ac:dyDescent="0.2">
      <c r="D34" s="6" t="s">
        <v>13</v>
      </c>
      <c r="E34" s="6" t="s">
        <v>82</v>
      </c>
      <c r="F34" s="6">
        <f>Vértices!C29</f>
        <v>11653.282779424673</v>
      </c>
      <c r="G34" s="17" t="str">
        <f>IF($C$2="Caminhão",Vértices!F29,"Sim")</f>
        <v>Não</v>
      </c>
      <c r="H34" s="13" t="str">
        <f>IF(OR($C$3="Sem chuva",$I34=0), "Não",IF($D$3&gt;=Tabela12[[#This Row],[Chuva]],"Sim","Não"))</f>
        <v>Não</v>
      </c>
      <c r="I34" s="13">
        <f>VLOOKUP(Vértices!E29,Tabela5[],2,)</f>
        <v>0</v>
      </c>
      <c r="J34" s="13" t="str">
        <f>IF(AND(Vértices!$J29="Sim",OR(Pesos!$D$4="Madrugada",Pesos!$D$4="Noite")),"Via bloqueada", "Via liberada")</f>
        <v>Via liberada</v>
      </c>
      <c r="K34" s="13">
        <f>Tabela12[[#This Row],[Distância (m)]]*((1*VLOOKUP(Vértices!$G29,Tabela7[[Classificação]:[Peso]],2,FALSE)+2*VLOOKUP(Vértices!I29,Tabela9[[Classificação]:[Peso]],2,FALSE)+3*VLOOKUP(Pesos!$C$5,Tabela11[[Classificação]:[Peso]],2,FALSE)+4*VLOOKUP(Vértices!H29,Tabela8[[Classificação]:[Peso]],2,FALSE)+5*VLOOKUP($D$3,Tabela5[[Fator Chuva]:[Peso]],2,FALSE))/15)*VLOOKUP(Vértices!G29,Tabela7[[Classificação]:[Peso]],2,FALSE)*VLOOKUP(Vértices!H29,Tabela8[[Classificação]:[Peso]],2,FALSE)*VLOOKUP(Vértices!I29,Tabela9[[Classificação]:[Peso]],2,FALSE)</f>
        <v>68171.704259634338</v>
      </c>
      <c r="L3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5" spans="4:12" ht="15" x14ac:dyDescent="0.2">
      <c r="D35" s="9" t="s">
        <v>14</v>
      </c>
      <c r="E35" s="9" t="s">
        <v>100</v>
      </c>
      <c r="F35" s="9">
        <f>Vértices!C30</f>
        <v>1606.4870188389045</v>
      </c>
      <c r="G35" s="17" t="str">
        <f>IF($C$2="Caminhão",Vértices!F30,"Sim")</f>
        <v>Sim</v>
      </c>
      <c r="H35" s="13" t="str">
        <f>IF(OR($C$3="Sem chuva",$I35=0), "Não",IF($D$3&gt;=Tabela12[[#This Row],[Chuva]],"Sim","Não"))</f>
        <v>Não</v>
      </c>
      <c r="I35" s="13">
        <f>VLOOKUP(Vértices!E30,Tabela5[],2,)</f>
        <v>6</v>
      </c>
      <c r="J35" s="13" t="str">
        <f>IF(AND(Vértices!$J30="Sim",OR(Pesos!$D$4="Madrugada",Pesos!$D$4="Noite")),"Via bloqueada", "Via liberada")</f>
        <v>Via liberada</v>
      </c>
      <c r="K35" s="13">
        <f>Tabela12[[#This Row],[Distância (m)]]*((1*VLOOKUP(Vértices!$G30,Tabela7[[Classificação]:[Peso]],2,FALSE)+2*VLOOKUP(Vértices!I30,Tabela9[[Classificação]:[Peso]],2,FALSE)+3*VLOOKUP(Pesos!$C$5,Tabela11[[Classificação]:[Peso]],2,FALSE)+4*VLOOKUP(Vértices!H30,Tabela8[[Classificação]:[Peso]],2,FALSE)+5*VLOOKUP($D$3,Tabela5[[Fator Chuva]:[Peso]],2,FALSE))/15)*VLOOKUP(Vértices!G30,Tabela7[[Classificação]:[Peso]],2,FALSE)*VLOOKUP(Vértices!H30,Tabela8[[Classificação]:[Peso]],2,FALSE)*VLOOKUP(Vértices!I30,Tabela9[[Classificação]:[Peso]],2,FALSE)</f>
        <v>12209.301343175674</v>
      </c>
      <c r="L35" s="13">
        <f>IF(OR(Tabela12[[#This Row],[Vai poder passar?]]="Não",Tabela12[[#This Row],[Via Alagada?]]="Sim",Tabela12[[#This Row],[Criminalidade]]="Via bloqueada"), "Ignorar rota", Tabela12[[#This Row],[Peso]])</f>
        <v>12209.301343175674</v>
      </c>
    </row>
    <row r="36" spans="4:12" ht="15" x14ac:dyDescent="0.2">
      <c r="D36" s="6" t="s">
        <v>15</v>
      </c>
      <c r="E36" s="6" t="s">
        <v>32</v>
      </c>
      <c r="F36" s="6">
        <f>Vértices!C31</f>
        <v>8882.1085381188059</v>
      </c>
      <c r="G36" s="17" t="str">
        <f>IF($C$2="Caminhão",Vértices!F31,"Sim")</f>
        <v>Não</v>
      </c>
      <c r="H36" s="13" t="str">
        <f>IF(OR($C$3="Sem chuva",$I36=0), "Não",IF($D$3&gt;=Tabela12[[#This Row],[Chuva]],"Sim","Não"))</f>
        <v>Não</v>
      </c>
      <c r="I36" s="13">
        <f>VLOOKUP(Vértices!E31,Tabela5[],2,)</f>
        <v>0</v>
      </c>
      <c r="J36" s="13" t="str">
        <f>IF(AND(Vértices!$J31="Sim",OR(Pesos!$D$4="Madrugada",Pesos!$D$4="Noite")),"Via bloqueada", "Via liberada")</f>
        <v>Via liberada</v>
      </c>
      <c r="K36" s="13">
        <f>Tabela12[[#This Row],[Distância (m)]]*((1*VLOOKUP(Vértices!$G31,Tabela7[[Classificação]:[Peso]],2,FALSE)+2*VLOOKUP(Vértices!I31,Tabela9[[Classificação]:[Peso]],2,FALSE)+3*VLOOKUP(Pesos!$C$5,Tabela11[[Classificação]:[Peso]],2,FALSE)+4*VLOOKUP(Vértices!H31,Tabela8[[Classificação]:[Peso]],2,FALSE)+5*VLOOKUP($D$3,Tabela5[[Fator Chuva]:[Peso]],2,FALSE))/15)*VLOOKUP(Vértices!G31,Tabela7[[Classificação]:[Peso]],2,FALSE)*VLOOKUP(Vértices!H31,Tabela8[[Classificação]:[Peso]],2,FALSE)*VLOOKUP(Vértices!I31,Tabela9[[Classificação]:[Peso]],2,FALSE)</f>
        <v>20428.849637673255</v>
      </c>
      <c r="L3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7" spans="4:12" ht="15" x14ac:dyDescent="0.2">
      <c r="D37" s="9" t="s">
        <v>15</v>
      </c>
      <c r="E37" s="9" t="s">
        <v>20</v>
      </c>
      <c r="F37" s="9">
        <f>Vértices!C32</f>
        <v>27935.649577230353</v>
      </c>
      <c r="G37" s="17" t="str">
        <f>IF($C$2="Caminhão",Vértices!F32,"Sim")</f>
        <v>Sim</v>
      </c>
      <c r="H37" s="13" t="str">
        <f>IF(OR($C$3="Sem chuva",$I37=0), "Não",IF($D$3&gt;=Tabela12[[#This Row],[Chuva]],"Sim","Não"))</f>
        <v>Não</v>
      </c>
      <c r="I37" s="13">
        <f>VLOOKUP(Vértices!E32,Tabela5[],2,)</f>
        <v>0</v>
      </c>
      <c r="J37" s="13" t="str">
        <f>IF(AND(Vértices!$J32="Sim",OR(Pesos!$D$4="Madrugada",Pesos!$D$4="Noite")),"Via bloqueada", "Via liberada")</f>
        <v>Via liberada</v>
      </c>
      <c r="K37" s="13">
        <f>Tabela12[[#This Row],[Distância (m)]]*((1*VLOOKUP(Vértices!$G32,Tabela7[[Classificação]:[Peso]],2,FALSE)+2*VLOOKUP(Vértices!I32,Tabela9[[Classificação]:[Peso]],2,FALSE)+3*VLOOKUP(Pesos!$C$5,Tabela11[[Classificação]:[Peso]],2,FALSE)+4*VLOOKUP(Vértices!H32,Tabela8[[Classificação]:[Peso]],2,FALSE)+5*VLOOKUP($D$3,Tabela5[[Fator Chuva]:[Peso]],2,FALSE))/15)*VLOOKUP(Vértices!G32,Tabela7[[Classificação]:[Peso]],2,FALSE)*VLOOKUP(Vértices!H32,Tabela8[[Classificação]:[Peso]],2,FALSE)*VLOOKUP(Vértices!I32,Tabela9[[Classificação]:[Peso]],2,FALSE)</f>
        <v>226278.76157556588</v>
      </c>
      <c r="L37" s="13">
        <f>IF(OR(Tabela12[[#This Row],[Vai poder passar?]]="Não",Tabela12[[#This Row],[Via Alagada?]]="Sim",Tabela12[[#This Row],[Criminalidade]]="Via bloqueada"), "Ignorar rota", Tabela12[[#This Row],[Peso]])</f>
        <v>226278.76157556588</v>
      </c>
    </row>
    <row r="38" spans="4:12" ht="15" x14ac:dyDescent="0.2">
      <c r="D38" s="6" t="s">
        <v>15</v>
      </c>
      <c r="E38" s="6" t="s">
        <v>43</v>
      </c>
      <c r="F38" s="6">
        <f>Vértices!C33</f>
        <v>17964.888917578344</v>
      </c>
      <c r="G38" s="17" t="str">
        <f>IF($C$2="Caminhão",Vértices!F33,"Sim")</f>
        <v>Sim</v>
      </c>
      <c r="H38" s="13" t="str">
        <f>IF(OR($C$3="Sem chuva",$I38=0), "Não",IF($D$3&gt;=Tabela12[[#This Row],[Chuva]],"Sim","Não"))</f>
        <v>Sim</v>
      </c>
      <c r="I38" s="13">
        <f>VLOOKUP(Vértices!E33,Tabela5[],2,)</f>
        <v>5</v>
      </c>
      <c r="J38" s="13" t="str">
        <f>IF(AND(Vértices!$J33="Sim",OR(Pesos!$D$4="Madrugada",Pesos!$D$4="Noite")),"Via bloqueada", "Via liberada")</f>
        <v>Via liberada</v>
      </c>
      <c r="K38" s="13">
        <f>Tabela12[[#This Row],[Distância (m)]]*((1*VLOOKUP(Vértices!$G33,Tabela7[[Classificação]:[Peso]],2,FALSE)+2*VLOOKUP(Vértices!I33,Tabela9[[Classificação]:[Peso]],2,FALSE)+3*VLOOKUP(Pesos!$C$5,Tabela11[[Classificação]:[Peso]],2,FALSE)+4*VLOOKUP(Vértices!H33,Tabela8[[Classificação]:[Peso]],2,FALSE)+5*VLOOKUP($D$3,Tabela5[[Fator Chuva]:[Peso]],2,FALSE))/15)*VLOOKUP(Vértices!G33,Tabela7[[Classificação]:[Peso]],2,FALSE)*VLOOKUP(Vértices!H33,Tabela8[[Classificação]:[Peso]],2,FALSE)*VLOOKUP(Vértices!I33,Tabela9[[Classificação]:[Peso]],2,FALSE)</f>
        <v>145515.60023238458</v>
      </c>
      <c r="L3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39" spans="4:12" ht="15" x14ac:dyDescent="0.2">
      <c r="D39" s="9" t="s">
        <v>17</v>
      </c>
      <c r="E39" s="9" t="s">
        <v>105</v>
      </c>
      <c r="F39" s="9">
        <f>Vértices!C34</f>
        <v>33411.860236893197</v>
      </c>
      <c r="G39" s="17" t="str">
        <f>IF($C$2="Caminhão",Vértices!F34,"Sim")</f>
        <v>Não</v>
      </c>
      <c r="H39" s="13" t="str">
        <f>IF(OR($C$3="Sem chuva",$I39=0), "Não",IF($D$3&gt;=Tabela12[[#This Row],[Chuva]],"Sim","Não"))</f>
        <v>Não</v>
      </c>
      <c r="I39" s="13">
        <f>VLOOKUP(Vértices!E34,Tabela5[],2,)</f>
        <v>0</v>
      </c>
      <c r="J39" s="13" t="str">
        <f>IF(AND(Vértices!$J34="Sim",OR(Pesos!$D$4="Madrugada",Pesos!$D$4="Noite")),"Via bloqueada", "Via liberada")</f>
        <v>Via liberada</v>
      </c>
      <c r="K39" s="13">
        <f>Tabela12[[#This Row],[Distância (m)]]*((1*VLOOKUP(Vértices!$G34,Tabela7[[Classificação]:[Peso]],2,FALSE)+2*VLOOKUP(Vértices!I34,Tabela9[[Classificação]:[Peso]],2,FALSE)+3*VLOOKUP(Pesos!$C$5,Tabela11[[Classificação]:[Peso]],2,FALSE)+4*VLOOKUP(Vértices!H34,Tabela8[[Classificação]:[Peso]],2,FALSE)+5*VLOOKUP($D$3,Tabela5[[Fator Chuva]:[Peso]],2,FALSE))/15)*VLOOKUP(Vértices!G34,Tabela7[[Classificação]:[Peso]],2,FALSE)*VLOOKUP(Vértices!H34,Tabela8[[Classificação]:[Peso]],2,FALSE)*VLOOKUP(Vértices!I34,Tabela9[[Classificação]:[Peso]],2,FALSE)</f>
        <v>76847.278544854358</v>
      </c>
      <c r="L3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0" spans="4:12" ht="15" x14ac:dyDescent="0.2">
      <c r="D40" s="6" t="s">
        <v>17</v>
      </c>
      <c r="E40" s="6" t="s">
        <v>88</v>
      </c>
      <c r="F40" s="6">
        <f>Vértices!C35</f>
        <v>58356.821250673871</v>
      </c>
      <c r="G40" s="17" t="str">
        <f>IF($C$2="Caminhão",Vértices!F35,"Sim")</f>
        <v>Não</v>
      </c>
      <c r="H40" s="13" t="str">
        <f>IF(OR($C$3="Sem chuva",$I40=0), "Não",IF($D$3&gt;=Tabela12[[#This Row],[Chuva]],"Sim","Não"))</f>
        <v>Não</v>
      </c>
      <c r="I40" s="13">
        <f>VLOOKUP(Vértices!E35,Tabela5[],2,)</f>
        <v>0</v>
      </c>
      <c r="J40" s="13" t="str">
        <f>IF(AND(Vértices!$J35="Sim",OR(Pesos!$D$4="Madrugada",Pesos!$D$4="Noite")),"Via bloqueada", "Via liberada")</f>
        <v>Via liberada</v>
      </c>
      <c r="K40" s="13">
        <f>Tabela12[[#This Row],[Distância (m)]]*((1*VLOOKUP(Vértices!$G35,Tabela7[[Classificação]:[Peso]],2,FALSE)+2*VLOOKUP(Vértices!I35,Tabela9[[Classificação]:[Peso]],2,FALSE)+3*VLOOKUP(Pesos!$C$5,Tabela11[[Classificação]:[Peso]],2,FALSE)+4*VLOOKUP(Vértices!H35,Tabela8[[Classificação]:[Peso]],2,FALSE)+5*VLOOKUP($D$3,Tabela5[[Fator Chuva]:[Peso]],2,FALSE))/15)*VLOOKUP(Vértices!G35,Tabela7[[Classificação]:[Peso]],2,FALSE)*VLOOKUP(Vértices!H35,Tabela8[[Classificação]:[Peso]],2,FALSE)*VLOOKUP(Vértices!I35,Tabela9[[Classificação]:[Peso]],2,FALSE)</f>
        <v>134220.68887654992</v>
      </c>
      <c r="L4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1" spans="4:12" ht="15" x14ac:dyDescent="0.2">
      <c r="D41" s="9" t="s">
        <v>18</v>
      </c>
      <c r="E41" s="9" t="s">
        <v>1</v>
      </c>
      <c r="F41" s="9">
        <f>Vértices!C36</f>
        <v>21122.977805951265</v>
      </c>
      <c r="G41" s="17" t="str">
        <f>IF($C$2="Caminhão",Vértices!F36,"Sim")</f>
        <v>Sim</v>
      </c>
      <c r="H41" s="13" t="str">
        <f>IF(OR($C$3="Sem chuva",$I41=0), "Não",IF($D$3&gt;=Tabela12[[#This Row],[Chuva]],"Sim","Não"))</f>
        <v>Sim</v>
      </c>
      <c r="I41" s="13">
        <f>VLOOKUP(Vértices!E36,Tabela5[],2,)</f>
        <v>4</v>
      </c>
      <c r="J41" s="13" t="str">
        <f>IF(AND(Vértices!$J36="Sim",OR(Pesos!$D$4="Madrugada",Pesos!$D$4="Noite")),"Via bloqueada", "Via liberada")</f>
        <v>Via liberada</v>
      </c>
      <c r="K41" s="13">
        <f>Tabela12[[#This Row],[Distância (m)]]*((1*VLOOKUP(Vértices!$G36,Tabela7[[Classificação]:[Peso]],2,FALSE)+2*VLOOKUP(Vértices!I36,Tabela9[[Classificação]:[Peso]],2,FALSE)+3*VLOOKUP(Pesos!$C$5,Tabela11[[Classificação]:[Peso]],2,FALSE)+4*VLOOKUP(Vértices!H36,Tabela8[[Classificação]:[Peso]],2,FALSE)+5*VLOOKUP($D$3,Tabela5[[Fator Chuva]:[Peso]],2,FALSE))/15)*VLOOKUP(Vértices!G36,Tabela7[[Classificação]:[Peso]],2,FALSE)*VLOOKUP(Vértices!H36,Tabela8[[Classificação]:[Peso]],2,FALSE)*VLOOKUP(Vértices!I36,Tabela9[[Classificação]:[Peso]],2,FALSE)</f>
        <v>80795.390107763596</v>
      </c>
      <c r="L4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2" spans="4:12" ht="15" x14ac:dyDescent="0.2">
      <c r="D42" s="6" t="s">
        <v>18</v>
      </c>
      <c r="E42" s="6" t="s">
        <v>33</v>
      </c>
      <c r="F42" s="6">
        <f>Vértices!C37</f>
        <v>11257.296327691012</v>
      </c>
      <c r="G42" s="17" t="str">
        <f>IF($C$2="Caminhão",Vértices!F37,"Sim")</f>
        <v>Sim</v>
      </c>
      <c r="H42" s="13" t="str">
        <f>IF(OR($C$3="Sem chuva",$I42=0), "Não",IF($D$3&gt;=Tabela12[[#This Row],[Chuva]],"Sim","Não"))</f>
        <v>Sim</v>
      </c>
      <c r="I42" s="13">
        <f>VLOOKUP(Vértices!E37,Tabela5[],2,)</f>
        <v>5</v>
      </c>
      <c r="J42" s="13" t="str">
        <f>IF(AND(Vértices!$J37="Sim",OR(Pesos!$D$4="Madrugada",Pesos!$D$4="Noite")),"Via bloqueada", "Via liberada")</f>
        <v>Via liberada</v>
      </c>
      <c r="K42" s="13">
        <f>Tabela12[[#This Row],[Distância (m)]]*((1*VLOOKUP(Vértices!$G37,Tabela7[[Classificação]:[Peso]],2,FALSE)+2*VLOOKUP(Vértices!I37,Tabela9[[Classificação]:[Peso]],2,FALSE)+3*VLOOKUP(Pesos!$C$5,Tabela11[[Classificação]:[Peso]],2,FALSE)+4*VLOOKUP(Vértices!H37,Tabela8[[Classificação]:[Peso]],2,FALSE)+5*VLOOKUP($D$3,Tabela5[[Fator Chuva]:[Peso]],2,FALSE))/15)*VLOOKUP(Vértices!G37,Tabela7[[Classificação]:[Peso]],2,FALSE)*VLOOKUP(Vértices!H37,Tabela8[[Classificação]:[Peso]],2,FALSE)*VLOOKUP(Vértices!I37,Tabela9[[Classificação]:[Peso]],2,FALSE)</f>
        <v>65855.183516992431</v>
      </c>
      <c r="L4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3" spans="4:12" ht="15" x14ac:dyDescent="0.2">
      <c r="D43" s="9" t="s">
        <v>19</v>
      </c>
      <c r="E43" s="9" t="s">
        <v>29</v>
      </c>
      <c r="F43" s="9">
        <f>Vértices!C38</f>
        <v>5196.0425179001186</v>
      </c>
      <c r="G43" s="17" t="str">
        <f>IF($C$2="Caminhão",Vértices!F38,"Sim")</f>
        <v>Não</v>
      </c>
      <c r="H43" s="13" t="str">
        <f>IF(OR($C$3="Sem chuva",$I43=0), "Não",IF($D$3&gt;=Tabela12[[#This Row],[Chuva]],"Sim","Não"))</f>
        <v>Não</v>
      </c>
      <c r="I43" s="13">
        <f>VLOOKUP(Vértices!E38,Tabela5[],2,)</f>
        <v>0</v>
      </c>
      <c r="J43" s="13" t="str">
        <f>IF(AND(Vértices!$J38="Sim",OR(Pesos!$D$4="Madrugada",Pesos!$D$4="Noite")),"Via bloqueada", "Via liberada")</f>
        <v>Via liberada</v>
      </c>
      <c r="K43" s="13">
        <f>Tabela12[[#This Row],[Distância (m)]]*((1*VLOOKUP(Vértices!$G38,Tabela7[[Classificação]:[Peso]],2,FALSE)+2*VLOOKUP(Vértices!I38,Tabela9[[Classificação]:[Peso]],2,FALSE)+3*VLOOKUP(Pesos!$C$5,Tabela11[[Classificação]:[Peso]],2,FALSE)+4*VLOOKUP(Vértices!H38,Tabela8[[Classificação]:[Peso]],2,FALSE)+5*VLOOKUP($D$3,Tabela5[[Fator Chuva]:[Peso]],2,FALSE))/15)*VLOOKUP(Vértices!G38,Tabela7[[Classificação]:[Peso]],2,FALSE)*VLOOKUP(Vértices!H38,Tabela8[[Classificação]:[Peso]],2,FALSE)*VLOOKUP(Vértices!I38,Tabela9[[Classificação]:[Peso]],2,FALSE)</f>
        <v>5455.8446437951243</v>
      </c>
      <c r="L4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4" spans="4:12" ht="15" x14ac:dyDescent="0.2">
      <c r="D44" s="6" t="s">
        <v>19</v>
      </c>
      <c r="E44" s="6" t="s">
        <v>79</v>
      </c>
      <c r="F44" s="6">
        <f>Vértices!C39</f>
        <v>27018.543774455255</v>
      </c>
      <c r="G44" s="17" t="str">
        <f>IF($C$2="Caminhão",Vértices!F39,"Sim")</f>
        <v>Não</v>
      </c>
      <c r="H44" s="13" t="str">
        <f>IF(OR($C$3="Sem chuva",$I44=0), "Não",IF($D$3&gt;=Tabela12[[#This Row],[Chuva]],"Sim","Não"))</f>
        <v>Não</v>
      </c>
      <c r="I44" s="13">
        <f>VLOOKUP(Vértices!E39,Tabela5[],2,)</f>
        <v>0</v>
      </c>
      <c r="J44" s="13" t="str">
        <f>IF(AND(Vértices!$J39="Sim",OR(Pesos!$D$4="Madrugada",Pesos!$D$4="Noite")),"Via bloqueada", "Via liberada")</f>
        <v>Via liberada</v>
      </c>
      <c r="K44" s="13">
        <f>Tabela12[[#This Row],[Distância (m)]]*((1*VLOOKUP(Vértices!$G39,Tabela7[[Classificação]:[Peso]],2,FALSE)+2*VLOOKUP(Vértices!I39,Tabela9[[Classificação]:[Peso]],2,FALSE)+3*VLOOKUP(Pesos!$C$5,Tabela11[[Classificação]:[Peso]],2,FALSE)+4*VLOOKUP(Vértices!H39,Tabela8[[Classificação]:[Peso]],2,FALSE)+5*VLOOKUP($D$3,Tabela5[[Fator Chuva]:[Peso]],2,FALSE))/15)*VLOOKUP(Vértices!G39,Tabela7[[Classificação]:[Peso]],2,FALSE)*VLOOKUP(Vértices!H39,Tabela8[[Classificação]:[Peso]],2,FALSE)*VLOOKUP(Vértices!I39,Tabela9[[Classificação]:[Peso]],2,FALSE)</f>
        <v>97266.757588038919</v>
      </c>
      <c r="L4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5" spans="4:12" ht="15" x14ac:dyDescent="0.2">
      <c r="D45" s="9" t="s">
        <v>20</v>
      </c>
      <c r="E45" s="9" t="s">
        <v>15</v>
      </c>
      <c r="F45" s="9">
        <f>Vértices!C40</f>
        <v>27935.649577230353</v>
      </c>
      <c r="G45" s="17" t="str">
        <f>IF($C$2="Caminhão",Vértices!F40,"Sim")</f>
        <v>Sim</v>
      </c>
      <c r="H45" s="13" t="str">
        <f>IF(OR($C$3="Sem chuva",$I45=0), "Não",IF($D$3&gt;=Tabela12[[#This Row],[Chuva]],"Sim","Não"))</f>
        <v>Não</v>
      </c>
      <c r="I45" s="13">
        <f>VLOOKUP(Vértices!E40,Tabela5[],2,)</f>
        <v>0</v>
      </c>
      <c r="J45" s="13" t="str">
        <f>IF(AND(Vértices!$J40="Sim",OR(Pesos!$D$4="Madrugada",Pesos!$D$4="Noite")),"Via bloqueada", "Via liberada")</f>
        <v>Via liberada</v>
      </c>
      <c r="K45" s="13">
        <f>Tabela12[[#This Row],[Distância (m)]]*((1*VLOOKUP(Vértices!$G40,Tabela7[[Classificação]:[Peso]],2,FALSE)+2*VLOOKUP(Vértices!I40,Tabela9[[Classificação]:[Peso]],2,FALSE)+3*VLOOKUP(Pesos!$C$5,Tabela11[[Classificação]:[Peso]],2,FALSE)+4*VLOOKUP(Vértices!H40,Tabela8[[Classificação]:[Peso]],2,FALSE)+5*VLOOKUP($D$3,Tabela5[[Fator Chuva]:[Peso]],2,FALSE))/15)*VLOOKUP(Vértices!G40,Tabela7[[Classificação]:[Peso]],2,FALSE)*VLOOKUP(Vértices!H40,Tabela8[[Classificação]:[Peso]],2,FALSE)*VLOOKUP(Vértices!I40,Tabela9[[Classificação]:[Peso]],2,FALSE)</f>
        <v>226278.76157556588</v>
      </c>
      <c r="L45" s="13">
        <f>IF(OR(Tabela12[[#This Row],[Vai poder passar?]]="Não",Tabela12[[#This Row],[Via Alagada?]]="Sim",Tabela12[[#This Row],[Criminalidade]]="Via bloqueada"), "Ignorar rota", Tabela12[[#This Row],[Peso]])</f>
        <v>226278.76157556588</v>
      </c>
    </row>
    <row r="46" spans="4:12" ht="15" x14ac:dyDescent="0.2">
      <c r="D46" s="6" t="s">
        <v>20</v>
      </c>
      <c r="E46" s="6" t="s">
        <v>76</v>
      </c>
      <c r="F46" s="6">
        <f>Vértices!C41</f>
        <v>51993.610717640819</v>
      </c>
      <c r="G46" s="17" t="str">
        <f>IF($C$2="Caminhão",Vértices!F41,"Sim")</f>
        <v>Sim</v>
      </c>
      <c r="H46" s="13" t="str">
        <f>IF(OR($C$3="Sem chuva",$I46=0), "Não",IF($D$3&gt;=Tabela12[[#This Row],[Chuva]],"Sim","Não"))</f>
        <v>Não</v>
      </c>
      <c r="I46" s="13">
        <f>VLOOKUP(Vértices!E41,Tabela5[],2,)</f>
        <v>0</v>
      </c>
      <c r="J46" s="13" t="str">
        <f>IF(AND(Vértices!$J41="Sim",OR(Pesos!$D$4="Madrugada",Pesos!$D$4="Noite")),"Via bloqueada", "Via liberada")</f>
        <v>Via liberada</v>
      </c>
      <c r="K46" s="13">
        <f>Tabela12[[#This Row],[Distância (m)]]*((1*VLOOKUP(Vértices!$G41,Tabela7[[Classificação]:[Peso]],2,FALSE)+2*VLOOKUP(Vértices!I41,Tabela9[[Classificação]:[Peso]],2,FALSE)+3*VLOOKUP(Pesos!$C$5,Tabela11[[Classificação]:[Peso]],2,FALSE)+4*VLOOKUP(Vértices!H41,Tabela8[[Classificação]:[Peso]],2,FALSE)+5*VLOOKUP($D$3,Tabela5[[Fator Chuva]:[Peso]],2,FALSE))/15)*VLOOKUP(Vértices!G41,Tabela7[[Classificação]:[Peso]],2,FALSE)*VLOOKUP(Vértices!H41,Tabela8[[Classificação]:[Peso]],2,FALSE)*VLOOKUP(Vértices!I41,Tabela9[[Classificação]:[Peso]],2,FALSE)</f>
        <v>43328.008931367352</v>
      </c>
      <c r="L46" s="13">
        <f>IF(OR(Tabela12[[#This Row],[Vai poder passar?]]="Não",Tabela12[[#This Row],[Via Alagada?]]="Sim",Tabela12[[#This Row],[Criminalidade]]="Via bloqueada"), "Ignorar rota", Tabela12[[#This Row],[Peso]])</f>
        <v>43328.008931367352</v>
      </c>
    </row>
    <row r="47" spans="4:12" ht="15" x14ac:dyDescent="0.2">
      <c r="D47" s="9" t="s">
        <v>21</v>
      </c>
      <c r="E47" s="9" t="s">
        <v>92</v>
      </c>
      <c r="F47" s="9">
        <f>Vértices!C42</f>
        <v>1744.1861631310169</v>
      </c>
      <c r="G47" s="17" t="str">
        <f>IF($C$2="Caminhão",Vértices!F42,"Sim")</f>
        <v>Sim</v>
      </c>
      <c r="H47" s="13" t="str">
        <f>IF(OR($C$3="Sem chuva",$I47=0), "Não",IF($D$3&gt;=Tabela12[[#This Row],[Chuva]],"Sim","Não"))</f>
        <v>Sim</v>
      </c>
      <c r="I47" s="13">
        <f>VLOOKUP(Vértices!E42,Tabela5[],2,)</f>
        <v>4</v>
      </c>
      <c r="J47" s="13" t="str">
        <f>IF(AND(Vértices!$J42="Sim",OR(Pesos!$D$4="Madrugada",Pesos!$D$4="Noite")),"Via bloqueada", "Via liberada")</f>
        <v>Via liberada</v>
      </c>
      <c r="K47" s="13">
        <f>Tabela12[[#This Row],[Distância (m)]]*((1*VLOOKUP(Vértices!$G42,Tabela7[[Classificação]:[Peso]],2,FALSE)+2*VLOOKUP(Vértices!I42,Tabela9[[Classificação]:[Peso]],2,FALSE)+3*VLOOKUP(Pesos!$C$5,Tabela11[[Classificação]:[Peso]],2,FALSE)+4*VLOOKUP(Vértices!H42,Tabela8[[Classificação]:[Peso]],2,FALSE)+5*VLOOKUP($D$3,Tabela5[[Fator Chuva]:[Peso]],2,FALSE))/15)*VLOOKUP(Vértices!G42,Tabela7[[Classificação]:[Peso]],2,FALSE)*VLOOKUP(Vértices!H42,Tabela8[[Classificação]:[Peso]],2,FALSE)*VLOOKUP(Vértices!I42,Tabela9[[Classificação]:[Peso]],2,FALSE)</f>
        <v>27034.885528530762</v>
      </c>
      <c r="L4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8" spans="4:12" ht="15" x14ac:dyDescent="0.2">
      <c r="D48" s="6" t="s">
        <v>21</v>
      </c>
      <c r="E48" s="6" t="s">
        <v>67</v>
      </c>
      <c r="F48" s="6">
        <f>Vértices!C43</f>
        <v>2238.9626282126947</v>
      </c>
      <c r="G48" s="17" t="str">
        <f>IF($C$2="Caminhão",Vértices!F43,"Sim")</f>
        <v>Não</v>
      </c>
      <c r="H48" s="13" t="str">
        <f>IF(OR($C$3="Sem chuva",$I48=0), "Não",IF($D$3&gt;=Tabela12[[#This Row],[Chuva]],"Sim","Não"))</f>
        <v>Não</v>
      </c>
      <c r="I48" s="13">
        <f>VLOOKUP(Vértices!E43,Tabela5[],2,)</f>
        <v>0</v>
      </c>
      <c r="J48" s="13" t="str">
        <f>IF(AND(Vértices!$J43="Sim",OR(Pesos!$D$4="Madrugada",Pesos!$D$4="Noite")),"Via bloqueada", "Via liberada")</f>
        <v>Via liberada</v>
      </c>
      <c r="K48" s="13">
        <f>Tabela12[[#This Row],[Distância (m)]]*((1*VLOOKUP(Vértices!$G43,Tabela7[[Classificação]:[Peso]],2,FALSE)+2*VLOOKUP(Vértices!I43,Tabela9[[Classificação]:[Peso]],2,FALSE)+3*VLOOKUP(Pesos!$C$5,Tabela11[[Classificação]:[Peso]],2,FALSE)+4*VLOOKUP(Vértices!H43,Tabela8[[Classificação]:[Peso]],2,FALSE)+5*VLOOKUP($D$3,Tabela5[[Fator Chuva]:[Peso]],2,FALSE))/15)*VLOOKUP(Vértices!G43,Tabela7[[Classificação]:[Peso]],2,FALSE)*VLOOKUP(Vértices!H43,Tabela8[[Classificação]:[Peso]],2,FALSE)*VLOOKUP(Vértices!I43,Tabela9[[Classificação]:[Peso]],2,FALSE)</f>
        <v>8396.1098557976056</v>
      </c>
      <c r="L4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49" spans="4:12" ht="15" x14ac:dyDescent="0.2">
      <c r="D49" s="9" t="s">
        <v>21</v>
      </c>
      <c r="E49" s="9" t="s">
        <v>39</v>
      </c>
      <c r="F49" s="9">
        <f>Vértices!C44</f>
        <v>1623.4973176324163</v>
      </c>
      <c r="G49" s="17" t="str">
        <f>IF($C$2="Caminhão",Vértices!F44,"Sim")</f>
        <v>Sim</v>
      </c>
      <c r="H49" s="13" t="str">
        <f>IF(OR($C$3="Sem chuva",$I49=0), "Não",IF($D$3&gt;=Tabela12[[#This Row],[Chuva]],"Sim","Não"))</f>
        <v>Sim</v>
      </c>
      <c r="I49" s="13">
        <f>VLOOKUP(Vértices!E44,Tabela5[],2,)</f>
        <v>4</v>
      </c>
      <c r="J49" s="13" t="str">
        <f>IF(AND(Vértices!$J44="Sim",OR(Pesos!$D$4="Madrugada",Pesos!$D$4="Noite")),"Via bloqueada", "Via liberada")</f>
        <v>Via liberada</v>
      </c>
      <c r="K49" s="13">
        <f>Tabela12[[#This Row],[Distância (m)]]*((1*VLOOKUP(Vértices!$G44,Tabela7[[Classificação]:[Peso]],2,FALSE)+2*VLOOKUP(Vértices!I44,Tabela9[[Classificação]:[Peso]],2,FALSE)+3*VLOOKUP(Pesos!$C$5,Tabela11[[Classificação]:[Peso]],2,FALSE)+4*VLOOKUP(Vértices!H44,Tabela8[[Classificação]:[Peso]],2,FALSE)+5*VLOOKUP($D$3,Tabela5[[Fator Chuva]:[Peso]],2,FALSE))/15)*VLOOKUP(Vértices!G44,Tabela7[[Classificação]:[Peso]],2,FALSE)*VLOOKUP(Vértices!H44,Tabela8[[Classificação]:[Peso]],2,FALSE)*VLOOKUP(Vértices!I44,Tabela9[[Classificação]:[Peso]],2,FALSE)</f>
        <v>25164.208423302458</v>
      </c>
      <c r="L4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50" spans="4:12" ht="15" x14ac:dyDescent="0.2">
      <c r="D50" s="6" t="s">
        <v>22</v>
      </c>
      <c r="E50" s="6" t="s">
        <v>54</v>
      </c>
      <c r="F50" s="6">
        <f>Vértices!C45</f>
        <v>649.49367932448502</v>
      </c>
      <c r="G50" s="17" t="str">
        <f>IF($C$2="Caminhão",Vértices!F45,"Sim")</f>
        <v>Sim</v>
      </c>
      <c r="H50" s="13" t="str">
        <f>IF(OR($C$3="Sem chuva",$I50=0), "Não",IF($D$3&gt;=Tabela12[[#This Row],[Chuva]],"Sim","Não"))</f>
        <v>Não</v>
      </c>
      <c r="I50" s="13">
        <f>VLOOKUP(Vértices!E45,Tabela5[],2,)</f>
        <v>6</v>
      </c>
      <c r="J50" s="13" t="str">
        <f>IF(AND(Vértices!$J45="Sim",OR(Pesos!$D$4="Madrugada",Pesos!$D$4="Noite")),"Via bloqueada", "Via liberada")</f>
        <v>Via liberada</v>
      </c>
      <c r="K50" s="13">
        <f>Tabela12[[#This Row],[Distância (m)]]*((1*VLOOKUP(Vértices!$G45,Tabela7[[Classificação]:[Peso]],2,FALSE)+2*VLOOKUP(Vértices!I45,Tabela9[[Classificação]:[Peso]],2,FALSE)+3*VLOOKUP(Pesos!$C$5,Tabela11[[Classificação]:[Peso]],2,FALSE)+4*VLOOKUP(Vértices!H45,Tabela8[[Classificação]:[Peso]],2,FALSE)+5*VLOOKUP($D$3,Tabela5[[Fator Chuva]:[Peso]],2,FALSE))/15)*VLOOKUP(Vértices!G45,Tabela7[[Classificação]:[Peso]],2,FALSE)*VLOOKUP(Vértices!H45,Tabela8[[Classificação]:[Peso]],2,FALSE)*VLOOKUP(Vértices!I45,Tabela9[[Classificação]:[Peso]],2,FALSE)</f>
        <v>6603.1857397989297</v>
      </c>
      <c r="L50" s="13">
        <f>IF(OR(Tabela12[[#This Row],[Vai poder passar?]]="Não",Tabela12[[#This Row],[Via Alagada?]]="Sim",Tabela12[[#This Row],[Criminalidade]]="Via bloqueada"), "Ignorar rota", Tabela12[[#This Row],[Peso]])</f>
        <v>6603.1857397989297</v>
      </c>
    </row>
    <row r="51" spans="4:12" ht="15" x14ac:dyDescent="0.2">
      <c r="D51" s="9" t="s">
        <v>22</v>
      </c>
      <c r="E51" s="9" t="s">
        <v>5</v>
      </c>
      <c r="F51" s="9">
        <f>Vértices!C46</f>
        <v>37013.464149590713</v>
      </c>
      <c r="G51" s="17" t="str">
        <f>IF($C$2="Caminhão",Vértices!F46,"Sim")</f>
        <v>Sim</v>
      </c>
      <c r="H51" s="13" t="str">
        <f>IF(OR($C$3="Sem chuva",$I51=0), "Não",IF($D$3&gt;=Tabela12[[#This Row],[Chuva]],"Sim","Não"))</f>
        <v>Não</v>
      </c>
      <c r="I51" s="13">
        <f>VLOOKUP(Vértices!E46,Tabela5[],2,)</f>
        <v>6</v>
      </c>
      <c r="J51" s="13" t="str">
        <f>IF(AND(Vértices!$J46="Sim",OR(Pesos!$D$4="Madrugada",Pesos!$D$4="Noite")),"Via bloqueada", "Via liberada")</f>
        <v>Via liberada</v>
      </c>
      <c r="K51" s="13">
        <f>Tabela12[[#This Row],[Distância (m)]]*((1*VLOOKUP(Vértices!$G46,Tabela7[[Classificação]:[Peso]],2,FALSE)+2*VLOOKUP(Vértices!I46,Tabela9[[Classificação]:[Peso]],2,FALSE)+3*VLOOKUP(Pesos!$C$5,Tabela11[[Classificação]:[Peso]],2,FALSE)+4*VLOOKUP(Vértices!H46,Tabela8[[Classificação]:[Peso]],2,FALSE)+5*VLOOKUP($D$3,Tabela5[[Fator Chuva]:[Peso]],2,FALSE))/15)*VLOOKUP(Vértices!G46,Tabela7[[Classificação]:[Peso]],2,FALSE)*VLOOKUP(Vértices!H46,Tabela8[[Classificação]:[Peso]],2,FALSE)*VLOOKUP(Vértices!I46,Tabela9[[Classificação]:[Peso]],2,FALSE)</f>
        <v>86981.640751538172</v>
      </c>
      <c r="L51" s="13">
        <f>IF(OR(Tabela12[[#This Row],[Vai poder passar?]]="Não",Tabela12[[#This Row],[Via Alagada?]]="Sim",Tabela12[[#This Row],[Criminalidade]]="Via bloqueada"), "Ignorar rota", Tabela12[[#This Row],[Peso]])</f>
        <v>86981.640751538172</v>
      </c>
    </row>
    <row r="52" spans="4:12" ht="15" x14ac:dyDescent="0.2">
      <c r="D52" s="6" t="s">
        <v>23</v>
      </c>
      <c r="E52" s="6" t="s">
        <v>4</v>
      </c>
      <c r="F52" s="6">
        <f>Vértices!C47</f>
        <v>1281.6983927674519</v>
      </c>
      <c r="G52" s="17" t="str">
        <f>IF($C$2="Caminhão",Vértices!F47,"Sim")</f>
        <v>Sim</v>
      </c>
      <c r="H52" s="13" t="str">
        <f>IF(OR($C$3="Sem chuva",$I52=0), "Não",IF($D$3&gt;=Tabela12[[#This Row],[Chuva]],"Sim","Não"))</f>
        <v>Não</v>
      </c>
      <c r="I52" s="13">
        <f>VLOOKUP(Vértices!E47,Tabela5[],2,)</f>
        <v>0</v>
      </c>
      <c r="J52" s="13" t="str">
        <f>IF(AND(Vértices!$J47="Sim",OR(Pesos!$D$4="Madrugada",Pesos!$D$4="Noite")),"Via bloqueada", "Via liberada")</f>
        <v>Via liberada</v>
      </c>
      <c r="K52" s="13">
        <f>Tabela12[[#This Row],[Distância (m)]]*((1*VLOOKUP(Vértices!$G47,Tabela7[[Classificação]:[Peso]],2,FALSE)+2*VLOOKUP(Vértices!I47,Tabela9[[Classificação]:[Peso]],2,FALSE)+3*VLOOKUP(Pesos!$C$5,Tabela11[[Classificação]:[Peso]],2,FALSE)+4*VLOOKUP(Vértices!H47,Tabela8[[Classificação]:[Peso]],2,FALSE)+5*VLOOKUP($D$3,Tabela5[[Fator Chuva]:[Peso]],2,FALSE))/15)*VLOOKUP(Vértices!G47,Tabela7[[Classificação]:[Peso]],2,FALSE)*VLOOKUP(Vértices!H47,Tabela8[[Classificação]:[Peso]],2,FALSE)*VLOOKUP(Vértices!I47,Tabela9[[Classificação]:[Peso]],2,FALSE)</f>
        <v>9740.9077850326339</v>
      </c>
      <c r="L52" s="13">
        <f>IF(OR(Tabela12[[#This Row],[Vai poder passar?]]="Não",Tabela12[[#This Row],[Via Alagada?]]="Sim",Tabela12[[#This Row],[Criminalidade]]="Via bloqueada"), "Ignorar rota", Tabela12[[#This Row],[Peso]])</f>
        <v>9740.9077850326339</v>
      </c>
    </row>
    <row r="53" spans="4:12" ht="15" x14ac:dyDescent="0.2">
      <c r="D53" s="9" t="s">
        <v>23</v>
      </c>
      <c r="E53" s="9" t="s">
        <v>7</v>
      </c>
      <c r="F53" s="9">
        <f>Vértices!C48</f>
        <v>16678.283907065299</v>
      </c>
      <c r="G53" s="17" t="str">
        <f>IF($C$2="Caminhão",Vértices!F48,"Sim")</f>
        <v>Sim</v>
      </c>
      <c r="H53" s="13" t="str">
        <f>IF(OR($C$3="Sem chuva",$I53=0), "Não",IF($D$3&gt;=Tabela12[[#This Row],[Chuva]],"Sim","Não"))</f>
        <v>Não</v>
      </c>
      <c r="I53" s="13">
        <f>VLOOKUP(Vértices!E48,Tabela5[],2,)</f>
        <v>6</v>
      </c>
      <c r="J53" s="13" t="str">
        <f>IF(AND(Vértices!$J48="Sim",OR(Pesos!$D$4="Madrugada",Pesos!$D$4="Noite")),"Via bloqueada", "Via liberada")</f>
        <v>Via liberada</v>
      </c>
      <c r="K53" s="13">
        <f>Tabela12[[#This Row],[Distância (m)]]*((1*VLOOKUP(Vértices!$G48,Tabela7[[Classificação]:[Peso]],2,FALSE)+2*VLOOKUP(Vértices!I48,Tabela9[[Classificação]:[Peso]],2,FALSE)+3*VLOOKUP(Pesos!$C$5,Tabela11[[Classificação]:[Peso]],2,FALSE)+4*VLOOKUP(Vértices!H48,Tabela8[[Classificação]:[Peso]],2,FALSE)+5*VLOOKUP($D$3,Tabela5[[Fator Chuva]:[Peso]],2,FALSE))/15)*VLOOKUP(Vértices!G48,Tabela7[[Classificação]:[Peso]],2,FALSE)*VLOOKUP(Vértices!H48,Tabela8[[Classificação]:[Peso]],2,FALSE)*VLOOKUP(Vértices!I48,Tabela9[[Classificação]:[Peso]],2,FALSE)</f>
        <v>63794.435944524761</v>
      </c>
      <c r="L53" s="13">
        <f>IF(OR(Tabela12[[#This Row],[Vai poder passar?]]="Não",Tabela12[[#This Row],[Via Alagada?]]="Sim",Tabela12[[#This Row],[Criminalidade]]="Via bloqueada"), "Ignorar rota", Tabela12[[#This Row],[Peso]])</f>
        <v>63794.435944524761</v>
      </c>
    </row>
    <row r="54" spans="4:12" ht="15" x14ac:dyDescent="0.2">
      <c r="D54" s="6" t="s">
        <v>24</v>
      </c>
      <c r="E54" s="6" t="s">
        <v>67</v>
      </c>
      <c r="F54" s="6">
        <f>Vértices!C49</f>
        <v>4243.0830161531794</v>
      </c>
      <c r="G54" s="17" t="str">
        <f>IF($C$2="Caminhão",Vértices!F49,"Sim")</f>
        <v>Não</v>
      </c>
      <c r="H54" s="13" t="str">
        <f>IF(OR($C$3="Sem chuva",$I54=0), "Não",IF($D$3&gt;=Tabela12[[#This Row],[Chuva]],"Sim","Não"))</f>
        <v>Não</v>
      </c>
      <c r="I54" s="13">
        <f>VLOOKUP(Vértices!E49,Tabela5[],2,)</f>
        <v>0</v>
      </c>
      <c r="J54" s="13" t="str">
        <f>IF(AND(Vértices!$J49="Sim",OR(Pesos!$D$4="Madrugada",Pesos!$D$4="Noite")),"Via bloqueada", "Via liberada")</f>
        <v>Via liberada</v>
      </c>
      <c r="K54" s="13">
        <f>Tabela12[[#This Row],[Distância (m)]]*((1*VLOOKUP(Vértices!$G49,Tabela7[[Classificação]:[Peso]],2,FALSE)+2*VLOOKUP(Vértices!I49,Tabela9[[Classificação]:[Peso]],2,FALSE)+3*VLOOKUP(Pesos!$C$5,Tabela11[[Classificação]:[Peso]],2,FALSE)+4*VLOOKUP(Vértices!H49,Tabela8[[Classificação]:[Peso]],2,FALSE)+5*VLOOKUP($D$3,Tabela5[[Fator Chuva]:[Peso]],2,FALSE))/15)*VLOOKUP(Vértices!G49,Tabela7[[Classificação]:[Peso]],2,FALSE)*VLOOKUP(Vértices!H49,Tabela8[[Classificação]:[Peso]],2,FALSE)*VLOOKUP(Vértices!I49,Tabela9[[Classificação]:[Peso]],2,FALSE)</f>
        <v>15911.561310574421</v>
      </c>
      <c r="L5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55" spans="4:12" ht="15" x14ac:dyDescent="0.2">
      <c r="D55" s="9" t="s">
        <v>24</v>
      </c>
      <c r="E55" s="9" t="s">
        <v>94</v>
      </c>
      <c r="F55" s="9">
        <f>Vértices!C50</f>
        <v>3202.8631443700033</v>
      </c>
      <c r="G55" s="17" t="str">
        <f>IF($C$2="Caminhão",Vértices!F50,"Sim")</f>
        <v>Não</v>
      </c>
      <c r="H55" s="13" t="str">
        <f>IF(OR($C$3="Sem chuva",$I55=0), "Não",IF($D$3&gt;=Tabela12[[#This Row],[Chuva]],"Sim","Não"))</f>
        <v>Não</v>
      </c>
      <c r="I55" s="13">
        <f>VLOOKUP(Vértices!E50,Tabela5[],2,)</f>
        <v>0</v>
      </c>
      <c r="J55" s="13" t="str">
        <f>IF(AND(Vértices!$J50="Sim",OR(Pesos!$D$4="Madrugada",Pesos!$D$4="Noite")),"Via bloqueada", "Via liberada")</f>
        <v>Via liberada</v>
      </c>
      <c r="K55" s="13">
        <f>Tabela12[[#This Row],[Distância (m)]]*((1*VLOOKUP(Vértices!$G50,Tabela7[[Classificação]:[Peso]],2,FALSE)+2*VLOOKUP(Vértices!I50,Tabela9[[Classificação]:[Peso]],2,FALSE)+3*VLOOKUP(Pesos!$C$5,Tabela11[[Classificação]:[Peso]],2,FALSE)+4*VLOOKUP(Vértices!H50,Tabela8[[Classificação]:[Peso]],2,FALSE)+5*VLOOKUP($D$3,Tabela5[[Fator Chuva]:[Peso]],2,FALSE))/15)*VLOOKUP(Vértices!G50,Tabela7[[Classificação]:[Peso]],2,FALSE)*VLOOKUP(Vértices!H50,Tabela8[[Classificação]:[Peso]],2,FALSE)*VLOOKUP(Vértices!I50,Tabela9[[Classificação]:[Peso]],2,FALSE)</f>
        <v>7366.5852320510076</v>
      </c>
      <c r="L5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56" spans="4:12" ht="15" x14ac:dyDescent="0.2">
      <c r="D56" s="6" t="s">
        <v>25</v>
      </c>
      <c r="E56" s="6" t="s">
        <v>14</v>
      </c>
      <c r="F56" s="6">
        <f>Vértices!C51</f>
        <v>820.35306327597164</v>
      </c>
      <c r="G56" s="17" t="str">
        <f>IF($C$2="Caminhão",Vértices!F51,"Sim")</f>
        <v>Sim</v>
      </c>
      <c r="H56" s="13" t="str">
        <f>IF(OR($C$3="Sem chuva",$I56=0), "Não",IF($D$3&gt;=Tabela12[[#This Row],[Chuva]],"Sim","Não"))</f>
        <v>Sim</v>
      </c>
      <c r="I56" s="13">
        <f>VLOOKUP(Vértices!E51,Tabela5[],2,)</f>
        <v>5</v>
      </c>
      <c r="J56" s="13" t="str">
        <f>IF(AND(Vértices!$J51="Sim",OR(Pesos!$D$4="Madrugada",Pesos!$D$4="Noite")),"Via bloqueada", "Via liberada")</f>
        <v>Via liberada</v>
      </c>
      <c r="K56" s="13">
        <f>Tabela12[[#This Row],[Distância (m)]]*((1*VLOOKUP(Vértices!$G51,Tabela7[[Classificação]:[Peso]],2,FALSE)+2*VLOOKUP(Vértices!I51,Tabela9[[Classificação]:[Peso]],2,FALSE)+3*VLOOKUP(Pesos!$C$5,Tabela11[[Classificação]:[Peso]],2,FALSE)+4*VLOOKUP(Vértices!H51,Tabela8[[Classificação]:[Peso]],2,FALSE)+5*VLOOKUP($D$3,Tabela5[[Fator Chuva]:[Peso]],2,FALSE))/15)*VLOOKUP(Vértices!G51,Tabela7[[Classificação]:[Peso]],2,FALSE)*VLOOKUP(Vértices!H51,Tabela8[[Classificação]:[Peso]],2,FALSE)*VLOOKUP(Vértices!I51,Tabela9[[Classificação]:[Peso]],2,FALSE)</f>
        <v>4101.7653163798586</v>
      </c>
      <c r="L5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57" spans="4:12" ht="15" x14ac:dyDescent="0.2">
      <c r="D57" s="9" t="s">
        <v>25</v>
      </c>
      <c r="E57" s="9" t="s">
        <v>26</v>
      </c>
      <c r="F57" s="9">
        <f>Vértices!C52</f>
        <v>2529.1224183535501</v>
      </c>
      <c r="G57" s="17" t="str">
        <f>IF($C$2="Caminhão",Vértices!F52,"Sim")</f>
        <v>Sim</v>
      </c>
      <c r="H57" s="13" t="str">
        <f>IF(OR($C$3="Sem chuva",$I57=0), "Não",IF($D$3&gt;=Tabela12[[#This Row],[Chuva]],"Sim","Não"))</f>
        <v>Sim</v>
      </c>
      <c r="I57" s="13">
        <f>VLOOKUP(Vértices!E52,Tabela5[],2,)</f>
        <v>5</v>
      </c>
      <c r="J57" s="13" t="str">
        <f>IF(AND(Vértices!$J52="Sim",OR(Pesos!$D$4="Madrugada",Pesos!$D$4="Noite")),"Via bloqueada", "Via liberada")</f>
        <v>Via liberada</v>
      </c>
      <c r="K57" s="13">
        <f>Tabela12[[#This Row],[Distância (m)]]*((1*VLOOKUP(Vértices!$G52,Tabela7[[Classificação]:[Peso]],2,FALSE)+2*VLOOKUP(Vértices!I52,Tabela9[[Classificação]:[Peso]],2,FALSE)+3*VLOOKUP(Pesos!$C$5,Tabela11[[Classificação]:[Peso]],2,FALSE)+4*VLOOKUP(Vértices!H52,Tabela8[[Classificação]:[Peso]],2,FALSE)+5*VLOOKUP($D$3,Tabela5[[Fator Chuva]:[Peso]],2,FALSE))/15)*VLOOKUP(Vértices!G52,Tabela7[[Classificação]:[Peso]],2,FALSE)*VLOOKUP(Vértices!H52,Tabela8[[Classificação]:[Peso]],2,FALSE)*VLOOKUP(Vértices!I52,Tabela9[[Classificação]:[Peso]],2,FALSE)</f>
        <v>25712.744586594425</v>
      </c>
      <c r="L5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58" spans="4:12" ht="15" x14ac:dyDescent="0.2">
      <c r="D58" s="6" t="s">
        <v>26</v>
      </c>
      <c r="E58" s="6" t="s">
        <v>52</v>
      </c>
      <c r="F58" s="6">
        <f>Vértices!C53</f>
        <v>495.7137674335217</v>
      </c>
      <c r="G58" s="17" t="str">
        <f>IF($C$2="Caminhão",Vértices!F53,"Sim")</f>
        <v>Sim</v>
      </c>
      <c r="H58" s="13" t="str">
        <f>IF(OR($C$3="Sem chuva",$I58=0), "Não",IF($D$3&gt;=Tabela12[[#This Row],[Chuva]],"Sim","Não"))</f>
        <v>Sim</v>
      </c>
      <c r="I58" s="13">
        <f>VLOOKUP(Vértices!E53,Tabela5[],2,)</f>
        <v>5</v>
      </c>
      <c r="J58" s="13" t="str">
        <f>IF(AND(Vértices!$J53="Sim",OR(Pesos!$D$4="Madrugada",Pesos!$D$4="Noite")),"Via bloqueada", "Via liberada")</f>
        <v>Via liberada</v>
      </c>
      <c r="K58" s="13">
        <f>Tabela12[[#This Row],[Distância (m)]]*((1*VLOOKUP(Vértices!$G53,Tabela7[[Classificação]:[Peso]],2,FALSE)+2*VLOOKUP(Vértices!I53,Tabela9[[Classificação]:[Peso]],2,FALSE)+3*VLOOKUP(Pesos!$C$5,Tabela11[[Classificação]:[Peso]],2,FALSE)+4*VLOOKUP(Vértices!H53,Tabela8[[Classificação]:[Peso]],2,FALSE)+5*VLOOKUP($D$3,Tabela5[[Fator Chuva]:[Peso]],2,FALSE))/15)*VLOOKUP(Vértices!G53,Tabela7[[Classificação]:[Peso]],2,FALSE)*VLOOKUP(Vértices!H53,Tabela8[[Classificação]:[Peso]],2,FALSE)*VLOOKUP(Vértices!I53,Tabela9[[Classificação]:[Peso]],2,FALSE)</f>
        <v>5039.7566355741365</v>
      </c>
      <c r="L5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59" spans="4:12" ht="15" x14ac:dyDescent="0.2">
      <c r="D59" s="9" t="s">
        <v>26</v>
      </c>
      <c r="E59" s="9" t="s">
        <v>71</v>
      </c>
      <c r="F59" s="9">
        <f>Vértices!C54</f>
        <v>1486.7151789287632</v>
      </c>
      <c r="G59" s="17" t="str">
        <f>IF($C$2="Caminhão",Vértices!F54,"Sim")</f>
        <v>Sim</v>
      </c>
      <c r="H59" s="13" t="str">
        <f>IF(OR($C$3="Sem chuva",$I59=0), "Não",IF($D$3&gt;=Tabela12[[#This Row],[Chuva]],"Sim","Não"))</f>
        <v>Sim</v>
      </c>
      <c r="I59" s="13">
        <f>VLOOKUP(Vértices!E54,Tabela5[],2,)</f>
        <v>5</v>
      </c>
      <c r="J59" s="13" t="str">
        <f>IF(AND(Vértices!$J54="Sim",OR(Pesos!$D$4="Madrugada",Pesos!$D$4="Noite")),"Via bloqueada", "Via liberada")</f>
        <v>Via liberada</v>
      </c>
      <c r="K59" s="13">
        <f>Tabela12[[#This Row],[Distância (m)]]*((1*VLOOKUP(Vértices!$G54,Tabela7[[Classificação]:[Peso]],2,FALSE)+2*VLOOKUP(Vértices!I54,Tabela9[[Classificação]:[Peso]],2,FALSE)+3*VLOOKUP(Pesos!$C$5,Tabela11[[Classificação]:[Peso]],2,FALSE)+4*VLOOKUP(Vértices!H54,Tabela8[[Classificação]:[Peso]],2,FALSE)+5*VLOOKUP($D$3,Tabela5[[Fator Chuva]:[Peso]],2,FALSE))/15)*VLOOKUP(Vértices!G54,Tabela7[[Classificação]:[Peso]],2,FALSE)*VLOOKUP(Vértices!H54,Tabela8[[Classificação]:[Peso]],2,FALSE)*VLOOKUP(Vértices!I54,Tabela9[[Classificação]:[Peso]],2,FALSE)</f>
        <v>15114.937652442424</v>
      </c>
      <c r="L5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60" spans="4:12" ht="15" x14ac:dyDescent="0.2">
      <c r="D60" s="6" t="s">
        <v>27</v>
      </c>
      <c r="E60" s="6" t="s">
        <v>75</v>
      </c>
      <c r="F60" s="6">
        <f>Vértices!C55</f>
        <v>1486.744759573188</v>
      </c>
      <c r="G60" s="17" t="str">
        <f>IF($C$2="Caminhão",Vértices!F55,"Sim")</f>
        <v>Sim</v>
      </c>
      <c r="H60" s="13" t="str">
        <f>IF(OR($C$3="Sem chuva",$I60=0), "Não",IF($D$3&gt;=Tabela12[[#This Row],[Chuva]],"Sim","Não"))</f>
        <v>Não</v>
      </c>
      <c r="I60" s="13">
        <f>VLOOKUP(Vértices!E55,Tabela5[],2,)</f>
        <v>6</v>
      </c>
      <c r="J60" s="13" t="str">
        <f>IF(AND(Vértices!$J55="Sim",OR(Pesos!$D$4="Madrugada",Pesos!$D$4="Noite")),"Via bloqueada", "Via liberada")</f>
        <v>Via liberada</v>
      </c>
      <c r="K60" s="13">
        <f>Tabela12[[#This Row],[Distância (m)]]*((1*VLOOKUP(Vértices!$G55,Tabela7[[Classificação]:[Peso]],2,FALSE)+2*VLOOKUP(Vértices!I55,Tabela9[[Classificação]:[Peso]],2,FALSE)+3*VLOOKUP(Pesos!$C$5,Tabela11[[Classificação]:[Peso]],2,FALSE)+4*VLOOKUP(Vértices!H55,Tabela8[[Classificação]:[Peso]],2,FALSE)+5*VLOOKUP($D$3,Tabela5[[Fator Chuva]:[Peso]],2,FALSE))/15)*VLOOKUP(Vértices!G55,Tabela7[[Classificação]:[Peso]],2,FALSE)*VLOOKUP(Vértices!H55,Tabela8[[Classificação]:[Peso]],2,FALSE)*VLOOKUP(Vértices!I55,Tabela9[[Classificação]:[Peso]],2,FALSE)</f>
        <v>15115.238388994077</v>
      </c>
      <c r="L60" s="13">
        <f>IF(OR(Tabela12[[#This Row],[Vai poder passar?]]="Não",Tabela12[[#This Row],[Via Alagada?]]="Sim",Tabela12[[#This Row],[Criminalidade]]="Via bloqueada"), "Ignorar rota", Tabela12[[#This Row],[Peso]])</f>
        <v>15115.238388994077</v>
      </c>
    </row>
    <row r="61" spans="4:12" ht="15" x14ac:dyDescent="0.2">
      <c r="D61" s="9" t="s">
        <v>27</v>
      </c>
      <c r="E61" s="9" t="s">
        <v>91</v>
      </c>
      <c r="F61" s="9">
        <f>Vértices!C56</f>
        <v>14902.04717067512</v>
      </c>
      <c r="G61" s="17" t="str">
        <f>IF($C$2="Caminhão",Vértices!F56,"Sim")</f>
        <v>Sim</v>
      </c>
      <c r="H61" s="13" t="str">
        <f>IF(OR($C$3="Sem chuva",$I61=0), "Não",IF($D$3&gt;=Tabela12[[#This Row],[Chuva]],"Sim","Não"))</f>
        <v>Não</v>
      </c>
      <c r="I61" s="13">
        <f>VLOOKUP(Vértices!E56,Tabela5[],2,)</f>
        <v>6</v>
      </c>
      <c r="J61" s="13" t="str">
        <f>IF(AND(Vértices!$J56="Sim",OR(Pesos!$D$4="Madrugada",Pesos!$D$4="Noite")),"Via bloqueada", "Via liberada")</f>
        <v>Via liberada</v>
      </c>
      <c r="K61" s="13">
        <f>Tabela12[[#This Row],[Distância (m)]]*((1*VLOOKUP(Vértices!$G56,Tabela7[[Classificação]:[Peso]],2,FALSE)+2*VLOOKUP(Vértices!I56,Tabela9[[Classificação]:[Peso]],2,FALSE)+3*VLOOKUP(Pesos!$C$5,Tabela11[[Classificação]:[Peso]],2,FALSE)+4*VLOOKUP(Vértices!H56,Tabela8[[Classificação]:[Peso]],2,FALSE)+5*VLOOKUP($D$3,Tabela5[[Fator Chuva]:[Peso]],2,FALSE))/15)*VLOOKUP(Vértices!G56,Tabela7[[Classificação]:[Peso]],2,FALSE)*VLOOKUP(Vértices!H56,Tabela8[[Classificação]:[Peso]],2,FALSE)*VLOOKUP(Vértices!I56,Tabela9[[Classificação]:[Peso]],2,FALSE)</f>
        <v>35019.810851086528</v>
      </c>
      <c r="L61" s="13">
        <f>IF(OR(Tabela12[[#This Row],[Vai poder passar?]]="Não",Tabela12[[#This Row],[Via Alagada?]]="Sim",Tabela12[[#This Row],[Criminalidade]]="Via bloqueada"), "Ignorar rota", Tabela12[[#This Row],[Peso]])</f>
        <v>35019.810851086528</v>
      </c>
    </row>
    <row r="62" spans="4:12" ht="15" x14ac:dyDescent="0.2">
      <c r="D62" s="6" t="s">
        <v>28</v>
      </c>
      <c r="E62" s="6" t="s">
        <v>55</v>
      </c>
      <c r="F62" s="6">
        <f>Vértices!C57</f>
        <v>12132.748281217268</v>
      </c>
      <c r="G62" s="17" t="str">
        <f>IF($C$2="Caminhão",Vértices!F57,"Sim")</f>
        <v>Sim</v>
      </c>
      <c r="H62" s="13" t="str">
        <f>IF(OR($C$3="Sem chuva",$I62=0), "Não",IF($D$3&gt;=Tabela12[[#This Row],[Chuva]],"Sim","Não"))</f>
        <v>Não</v>
      </c>
      <c r="I62" s="13">
        <f>VLOOKUP(Vértices!E57,Tabela5[],2,)</f>
        <v>0</v>
      </c>
      <c r="J62" s="13" t="str">
        <f>IF(AND(Vértices!$J57="Sim",OR(Pesos!$D$4="Madrugada",Pesos!$D$4="Noite")),"Via bloqueada", "Via liberada")</f>
        <v>Via liberada</v>
      </c>
      <c r="K62" s="13">
        <f>Tabela12[[#This Row],[Distância (m)]]*((1*VLOOKUP(Vértices!$G57,Tabela7[[Classificação]:[Peso]],2,FALSE)+2*VLOOKUP(Vértices!I57,Tabela9[[Classificação]:[Peso]],2,FALSE)+3*VLOOKUP(Pesos!$C$5,Tabela11[[Classificação]:[Peso]],2,FALSE)+4*VLOOKUP(Vértices!H57,Tabela8[[Classificação]:[Peso]],2,FALSE)+5*VLOOKUP($D$3,Tabela5[[Fator Chuva]:[Peso]],2,FALSE))/15)*VLOOKUP(Vértices!G57,Tabela7[[Classificação]:[Peso]],2,FALSE)*VLOOKUP(Vértices!H57,Tabela8[[Classificação]:[Peso]],2,FALSE)*VLOOKUP(Vértices!I57,Tabela9[[Classificação]:[Peso]],2,FALSE)</f>
        <v>188057.59835886766</v>
      </c>
      <c r="L62" s="13">
        <f>IF(OR(Tabela12[[#This Row],[Vai poder passar?]]="Não",Tabela12[[#This Row],[Via Alagada?]]="Sim",Tabela12[[#This Row],[Criminalidade]]="Via bloqueada"), "Ignorar rota", Tabela12[[#This Row],[Peso]])</f>
        <v>188057.59835886766</v>
      </c>
    </row>
    <row r="63" spans="4:12" ht="15" x14ac:dyDescent="0.2">
      <c r="D63" s="9" t="s">
        <v>28</v>
      </c>
      <c r="E63" s="9" t="s">
        <v>103</v>
      </c>
      <c r="F63" s="9">
        <f>Vértices!C58</f>
        <v>10834.426483996172</v>
      </c>
      <c r="G63" s="17" t="str">
        <f>IF($C$2="Caminhão",Vértices!F58,"Sim")</f>
        <v>Sim</v>
      </c>
      <c r="H63" s="13" t="str">
        <f>IF(OR($C$3="Sem chuva",$I63=0), "Não",IF($D$3&gt;=Tabela12[[#This Row],[Chuva]],"Sim","Não"))</f>
        <v>Não</v>
      </c>
      <c r="I63" s="13">
        <f>VLOOKUP(Vértices!E58,Tabela5[],2,)</f>
        <v>0</v>
      </c>
      <c r="J63" s="13" t="str">
        <f>IF(AND(Vértices!$J58="Sim",OR(Pesos!$D$4="Madrugada",Pesos!$D$4="Noite")),"Via bloqueada", "Via liberada")</f>
        <v>Via liberada</v>
      </c>
      <c r="K63" s="13">
        <f>Tabela12[[#This Row],[Distância (m)]]*((1*VLOOKUP(Vértices!$G58,Tabela7[[Classificação]:[Peso]],2,FALSE)+2*VLOOKUP(Vértices!I58,Tabela9[[Classificação]:[Peso]],2,FALSE)+3*VLOOKUP(Pesos!$C$5,Tabela11[[Classificação]:[Peso]],2,FALSE)+4*VLOOKUP(Vértices!H58,Tabela8[[Classificação]:[Peso]],2,FALSE)+5*VLOOKUP($D$3,Tabela5[[Fator Chuva]:[Peso]],2,FALSE))/15)*VLOOKUP(Vértices!G58,Tabela7[[Classificação]:[Peso]],2,FALSE)*VLOOKUP(Vértices!H58,Tabela8[[Classificação]:[Peso]],2,FALSE)*VLOOKUP(Vértices!I58,Tabela9[[Classificação]:[Peso]],2,FALSE)</f>
        <v>110150.00258729442</v>
      </c>
      <c r="L63" s="13">
        <f>IF(OR(Tabela12[[#This Row],[Vai poder passar?]]="Não",Tabela12[[#This Row],[Via Alagada?]]="Sim",Tabela12[[#This Row],[Criminalidade]]="Via bloqueada"), "Ignorar rota", Tabela12[[#This Row],[Peso]])</f>
        <v>110150.00258729442</v>
      </c>
    </row>
    <row r="64" spans="4:12" ht="15" x14ac:dyDescent="0.2">
      <c r="D64" s="6" t="s">
        <v>29</v>
      </c>
      <c r="E64" s="6" t="s">
        <v>45</v>
      </c>
      <c r="F64" s="6">
        <f>Vértices!C59</f>
        <v>5006.9769404290828</v>
      </c>
      <c r="G64" s="17" t="str">
        <f>IF($C$2="Caminhão",Vértices!F59,"Sim")</f>
        <v>Sim</v>
      </c>
      <c r="H64" s="13" t="str">
        <f>IF(OR($C$3="Sem chuva",$I64=0), "Não",IF($D$3&gt;=Tabela12[[#This Row],[Chuva]],"Sim","Não"))</f>
        <v>Não</v>
      </c>
      <c r="I64" s="13">
        <f>VLOOKUP(Vértices!E59,Tabela5[],2,)</f>
        <v>6</v>
      </c>
      <c r="J64" s="13" t="str">
        <f>IF(AND(Vértices!$J59="Sim",OR(Pesos!$D$4="Madrugada",Pesos!$D$4="Noite")),"Via bloqueada", "Via liberada")</f>
        <v>Via liberada</v>
      </c>
      <c r="K64" s="13">
        <f>Tabela12[[#This Row],[Distância (m)]]*((1*VLOOKUP(Vértices!$G59,Tabela7[[Classificação]:[Peso]],2,FALSE)+2*VLOOKUP(Vértices!I59,Tabela9[[Classificação]:[Peso]],2,FALSE)+3*VLOOKUP(Pesos!$C$5,Tabela11[[Classificação]:[Peso]],2,FALSE)+4*VLOOKUP(Vértices!H59,Tabela8[[Classificação]:[Peso]],2,FALSE)+5*VLOOKUP($D$3,Tabela5[[Fator Chuva]:[Peso]],2,FALSE))/15)*VLOOKUP(Vértices!G59,Tabela7[[Classificação]:[Peso]],2,FALSE)*VLOOKUP(Vértices!H59,Tabela8[[Classificação]:[Peso]],2,FALSE)*VLOOKUP(Vértices!I59,Tabela9[[Classificação]:[Peso]],2,FALSE)</f>
        <v>50904.265561029009</v>
      </c>
      <c r="L64" s="13">
        <f>IF(OR(Tabela12[[#This Row],[Vai poder passar?]]="Não",Tabela12[[#This Row],[Via Alagada?]]="Sim",Tabela12[[#This Row],[Criminalidade]]="Via bloqueada"), "Ignorar rota", Tabela12[[#This Row],[Peso]])</f>
        <v>50904.265561029009</v>
      </c>
    </row>
    <row r="65" spans="4:12" ht="15" x14ac:dyDescent="0.2">
      <c r="D65" s="9" t="s">
        <v>30</v>
      </c>
      <c r="E65" s="9" t="s">
        <v>60</v>
      </c>
      <c r="F65" s="9">
        <f>Vértices!C60</f>
        <v>717.42775378781221</v>
      </c>
      <c r="G65" s="17" t="str">
        <f>IF($C$2="Caminhão",Vértices!F60,"Sim")</f>
        <v>Sim</v>
      </c>
      <c r="H65" s="13" t="str">
        <f>IF(OR($C$3="Sem chuva",$I65=0), "Não",IF($D$3&gt;=Tabela12[[#This Row],[Chuva]],"Sim","Não"))</f>
        <v>Não</v>
      </c>
      <c r="I65" s="13">
        <f>VLOOKUP(Vértices!E60,Tabela5[],2,)</f>
        <v>6</v>
      </c>
      <c r="J65" s="13" t="str">
        <f>IF(AND(Vértices!$J60="Sim",OR(Pesos!$D$4="Madrugada",Pesos!$D$4="Noite")),"Via bloqueada", "Via liberada")</f>
        <v>Via liberada</v>
      </c>
      <c r="K65" s="13">
        <f>Tabela12[[#This Row],[Distância (m)]]*((1*VLOOKUP(Vértices!$G60,Tabela7[[Classificação]:[Peso]],2,FALSE)+2*VLOOKUP(Vértices!I60,Tabela9[[Classificação]:[Peso]],2,FALSE)+3*VLOOKUP(Pesos!$C$5,Tabela11[[Classificação]:[Peso]],2,FALSE)+4*VLOOKUP(Vértices!H60,Tabela8[[Classificação]:[Peso]],2,FALSE)+5*VLOOKUP($D$3,Tabela5[[Fator Chuva]:[Peso]],2,FALSE))/15)*VLOOKUP(Vértices!G60,Tabela7[[Classificação]:[Peso]],2,FALSE)*VLOOKUP(Vértices!H60,Tabela8[[Classificação]:[Peso]],2,FALSE)*VLOOKUP(Vértices!I60,Tabela9[[Classificação]:[Peso]],2,FALSE)</f>
        <v>4196.9523596587014</v>
      </c>
      <c r="L65" s="13">
        <f>IF(OR(Tabela12[[#This Row],[Vai poder passar?]]="Não",Tabela12[[#This Row],[Via Alagada?]]="Sim",Tabela12[[#This Row],[Criminalidade]]="Via bloqueada"), "Ignorar rota", Tabela12[[#This Row],[Peso]])</f>
        <v>4196.9523596587014</v>
      </c>
    </row>
    <row r="66" spans="4:12" ht="15" x14ac:dyDescent="0.2">
      <c r="D66" s="6" t="s">
        <v>30</v>
      </c>
      <c r="E66" s="6" t="s">
        <v>102</v>
      </c>
      <c r="F66" s="6">
        <f>Vértices!C61</f>
        <v>13996.95418132395</v>
      </c>
      <c r="G66" s="17" t="str">
        <f>IF($C$2="Caminhão",Vértices!F61,"Sim")</f>
        <v>Sim</v>
      </c>
      <c r="H66" s="13" t="str">
        <f>IF(OR($C$3="Sem chuva",$I66=0), "Não",IF($D$3&gt;=Tabela12[[#This Row],[Chuva]],"Sim","Não"))</f>
        <v>Sim</v>
      </c>
      <c r="I66" s="13">
        <f>VLOOKUP(Vértices!E61,Tabela5[],2,)</f>
        <v>4</v>
      </c>
      <c r="J66" s="13" t="str">
        <f>IF(AND(Vértices!$J61="Sim",OR(Pesos!$D$4="Madrugada",Pesos!$D$4="Noite")),"Via bloqueada", "Via liberada")</f>
        <v>Via liberada</v>
      </c>
      <c r="K66" s="13">
        <f>Tabela12[[#This Row],[Distância (m)]]*((1*VLOOKUP(Vértices!$G61,Tabela7[[Classificação]:[Peso]],2,FALSE)+2*VLOOKUP(Vértices!I61,Tabela9[[Classificação]:[Peso]],2,FALSE)+3*VLOOKUP(Pesos!$C$5,Tabela11[[Classificação]:[Peso]],2,FALSE)+4*VLOOKUP(Vértices!H61,Tabela8[[Classificação]:[Peso]],2,FALSE)+5*VLOOKUP($D$3,Tabela5[[Fator Chuva]:[Peso]],2,FALSE))/15)*VLOOKUP(Vértices!G61,Tabela7[[Classificação]:[Peso]],2,FALSE)*VLOOKUP(Vértices!H61,Tabela8[[Classificação]:[Peso]],2,FALSE)*VLOOKUP(Vértices!I61,Tabela9[[Classificação]:[Peso]],2,FALSE)</f>
        <v>106376.85177806202</v>
      </c>
      <c r="L6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67" spans="4:12" ht="15" x14ac:dyDescent="0.2">
      <c r="D67" s="9" t="s">
        <v>31</v>
      </c>
      <c r="E67" s="9" t="s">
        <v>103</v>
      </c>
      <c r="F67" s="9">
        <f>Vértices!C62</f>
        <v>29547.569374060698</v>
      </c>
      <c r="G67" s="17" t="str">
        <f>IF($C$2="Caminhão",Vértices!F62,"Sim")</f>
        <v>Sim</v>
      </c>
      <c r="H67" s="13" t="str">
        <f>IF(OR($C$3="Sem chuva",$I67=0), "Não",IF($D$3&gt;=Tabela12[[#This Row],[Chuva]],"Sim","Não"))</f>
        <v>Sim</v>
      </c>
      <c r="I67" s="13">
        <f>VLOOKUP(Vértices!E62,Tabela5[],2,)</f>
        <v>5</v>
      </c>
      <c r="J67" s="13" t="str">
        <f>IF(AND(Vértices!$J62="Sim",OR(Pesos!$D$4="Madrugada",Pesos!$D$4="Noite")),"Via bloqueada", "Via liberada")</f>
        <v>Via liberada</v>
      </c>
      <c r="K67" s="13">
        <f>Tabela12[[#This Row],[Distância (m)]]*((1*VLOOKUP(Vértices!$G62,Tabela7[[Classificação]:[Peso]],2,FALSE)+2*VLOOKUP(Vértices!I62,Tabela9[[Classificação]:[Peso]],2,FALSE)+3*VLOOKUP(Pesos!$C$5,Tabela11[[Classificação]:[Peso]],2,FALSE)+4*VLOOKUP(Vértices!H62,Tabela8[[Classificação]:[Peso]],2,FALSE)+5*VLOOKUP($D$3,Tabela5[[Fator Chuva]:[Peso]],2,FALSE))/15)*VLOOKUP(Vértices!G62,Tabela7[[Classificação]:[Peso]],2,FALSE)*VLOOKUP(Vértices!H62,Tabela8[[Classificação]:[Peso]],2,FALSE)*VLOOKUP(Vértices!I62,Tabela9[[Classificação]:[Peso]],2,FALSE)</f>
        <v>457987.32529794087</v>
      </c>
      <c r="L6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68" spans="4:12" ht="15" x14ac:dyDescent="0.2">
      <c r="D68" s="6" t="s">
        <v>31</v>
      </c>
      <c r="E68" s="6" t="s">
        <v>68</v>
      </c>
      <c r="F68" s="6">
        <f>Vértices!C63</f>
        <v>31733.457015862015</v>
      </c>
      <c r="G68" s="17" t="str">
        <f>IF($C$2="Caminhão",Vértices!F63,"Sim")</f>
        <v>Sim</v>
      </c>
      <c r="H68" s="13" t="str">
        <f>IF(OR($C$3="Sem chuva",$I68=0), "Não",IF($D$3&gt;=Tabela12[[#This Row],[Chuva]],"Sim","Não"))</f>
        <v>Sim</v>
      </c>
      <c r="I68" s="13">
        <f>VLOOKUP(Vértices!E63,Tabela5[],2,)</f>
        <v>5</v>
      </c>
      <c r="J68" s="13" t="str">
        <f>IF(AND(Vértices!$J63="Sim",OR(Pesos!$D$4="Madrugada",Pesos!$D$4="Noite")),"Via bloqueada", "Via liberada")</f>
        <v>Via liberada</v>
      </c>
      <c r="K68" s="13">
        <f>Tabela12[[#This Row],[Distância (m)]]*((1*VLOOKUP(Vértices!$G63,Tabela7[[Classificação]:[Peso]],2,FALSE)+2*VLOOKUP(Vértices!I63,Tabela9[[Classificação]:[Peso]],2,FALSE)+3*VLOOKUP(Pesos!$C$5,Tabela11[[Classificação]:[Peso]],2,FALSE)+4*VLOOKUP(Vértices!H63,Tabela8[[Classificação]:[Peso]],2,FALSE)+5*VLOOKUP($D$3,Tabela5[[Fator Chuva]:[Peso]],2,FALSE))/15)*VLOOKUP(Vértices!G63,Tabela7[[Classificação]:[Peso]],2,FALSE)*VLOOKUP(Vértices!H63,Tabela8[[Classificação]:[Peso]],2,FALSE)*VLOOKUP(Vértices!I63,Tabela9[[Classificação]:[Peso]],2,FALSE)</f>
        <v>185640.72354279278</v>
      </c>
      <c r="L6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69" spans="4:12" ht="15" x14ac:dyDescent="0.2">
      <c r="D69" s="9" t="s">
        <v>31</v>
      </c>
      <c r="E69" s="9" t="s">
        <v>6</v>
      </c>
      <c r="F69" s="9">
        <f>Vértices!C64</f>
        <v>18063.233309056312</v>
      </c>
      <c r="G69" s="17" t="str">
        <f>IF($C$2="Caminhão",Vértices!F64,"Sim")</f>
        <v>Sim</v>
      </c>
      <c r="H69" s="13" t="str">
        <f>IF(OR($C$3="Sem chuva",$I69=0), "Não",IF($D$3&gt;=Tabela12[[#This Row],[Chuva]],"Sim","Não"))</f>
        <v>Não</v>
      </c>
      <c r="I69" s="13">
        <f>VLOOKUP(Vértices!E64,Tabela5[],2,)</f>
        <v>0</v>
      </c>
      <c r="J69" s="13" t="str">
        <f>IF(AND(Vértices!$J64="Sim",OR(Pesos!$D$4="Madrugada",Pesos!$D$4="Noite")),"Via bloqueada", "Via liberada")</f>
        <v>Via liberada</v>
      </c>
      <c r="K69" s="13">
        <f>Tabela12[[#This Row],[Distância (m)]]*((1*VLOOKUP(Vértices!$G64,Tabela7[[Classificação]:[Peso]],2,FALSE)+2*VLOOKUP(Vértices!I64,Tabela9[[Classificação]:[Peso]],2,FALSE)+3*VLOOKUP(Pesos!$C$5,Tabela11[[Classificação]:[Peso]],2,FALSE)+4*VLOOKUP(Vértices!H64,Tabela8[[Classificação]:[Peso]],2,FALSE)+5*VLOOKUP($D$3,Tabela5[[Fator Chuva]:[Peso]],2,FALSE))/15)*VLOOKUP(Vértices!G64,Tabela7[[Classificação]:[Peso]],2,FALSE)*VLOOKUP(Vértices!H64,Tabela8[[Classificação]:[Peso]],2,FALSE)*VLOOKUP(Vértices!I64,Tabela9[[Classificação]:[Peso]],2,FALSE)</f>
        <v>65027.639912602725</v>
      </c>
      <c r="L69" s="13">
        <f>IF(OR(Tabela12[[#This Row],[Vai poder passar?]]="Não",Tabela12[[#This Row],[Via Alagada?]]="Sim",Tabela12[[#This Row],[Criminalidade]]="Via bloqueada"), "Ignorar rota", Tabela12[[#This Row],[Peso]])</f>
        <v>65027.639912602725</v>
      </c>
    </row>
    <row r="70" spans="4:12" ht="15" x14ac:dyDescent="0.2">
      <c r="D70" s="6" t="s">
        <v>31</v>
      </c>
      <c r="E70" s="6" t="s">
        <v>107</v>
      </c>
      <c r="F70" s="6">
        <f>Vértices!C65</f>
        <v>49286.849728767396</v>
      </c>
      <c r="G70" s="17" t="str">
        <f>IF($C$2="Caminhão",Vértices!F65,"Sim")</f>
        <v>Sim</v>
      </c>
      <c r="H70" s="13" t="str">
        <f>IF(OR($C$3="Sem chuva",$I70=0), "Não",IF($D$3&gt;=Tabela12[[#This Row],[Chuva]],"Sim","Não"))</f>
        <v>Sim</v>
      </c>
      <c r="I70" s="13">
        <f>VLOOKUP(Vértices!E65,Tabela5[],2,)</f>
        <v>3</v>
      </c>
      <c r="J70" s="13" t="str">
        <f>IF(AND(Vértices!$J65="Sim",OR(Pesos!$D$4="Madrugada",Pesos!$D$4="Noite")),"Via bloqueada", "Via liberada")</f>
        <v>Via liberada</v>
      </c>
      <c r="K70" s="13">
        <f>Tabela12[[#This Row],[Distância (m)]]*((1*VLOOKUP(Vértices!$G65,Tabela7[[Classificação]:[Peso]],2,FALSE)+2*VLOOKUP(Vértices!I65,Tabela9[[Classificação]:[Peso]],2,FALSE)+3*VLOOKUP(Pesos!$C$5,Tabela11[[Classificação]:[Peso]],2,FALSE)+4*VLOOKUP(Vértices!H65,Tabela8[[Classificação]:[Peso]],2,FALSE)+5*VLOOKUP($D$3,Tabela5[[Fator Chuva]:[Peso]],2,FALSE))/15)*VLOOKUP(Vértices!G65,Tabela7[[Classificação]:[Peso]],2,FALSE)*VLOOKUP(Vértices!H65,Tabela8[[Classificação]:[Peso]],2,FALSE)*VLOOKUP(Vértices!I65,Tabela9[[Classificação]:[Peso]],2,FALSE)</f>
        <v>763946.17079589469</v>
      </c>
      <c r="L7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1" spans="4:12" ht="15" x14ac:dyDescent="0.2">
      <c r="D71" s="9" t="s">
        <v>32</v>
      </c>
      <c r="E71" s="9" t="s">
        <v>15</v>
      </c>
      <c r="F71" s="9">
        <f>Vértices!C66</f>
        <v>8882.1085381188059</v>
      </c>
      <c r="G71" s="17" t="str">
        <f>IF($C$2="Caminhão",Vértices!F66,"Sim")</f>
        <v>Não</v>
      </c>
      <c r="H71" s="13" t="str">
        <f>IF(OR($C$3="Sem chuva",$I71=0), "Não",IF($D$3&gt;=Tabela12[[#This Row],[Chuva]],"Sim","Não"))</f>
        <v>Não</v>
      </c>
      <c r="I71" s="13">
        <f>VLOOKUP(Vértices!E66,Tabela5[],2,)</f>
        <v>0</v>
      </c>
      <c r="J71" s="13" t="str">
        <f>IF(AND(Vértices!$J66="Sim",OR(Pesos!$D$4="Madrugada",Pesos!$D$4="Noite")),"Via bloqueada", "Via liberada")</f>
        <v>Via liberada</v>
      </c>
      <c r="K71" s="13">
        <f>Tabela12[[#This Row],[Distância (m)]]*((1*VLOOKUP(Vértices!$G66,Tabela7[[Classificação]:[Peso]],2,FALSE)+2*VLOOKUP(Vértices!I66,Tabela9[[Classificação]:[Peso]],2,FALSE)+3*VLOOKUP(Pesos!$C$5,Tabela11[[Classificação]:[Peso]],2,FALSE)+4*VLOOKUP(Vértices!H66,Tabela8[[Classificação]:[Peso]],2,FALSE)+5*VLOOKUP($D$3,Tabela5[[Fator Chuva]:[Peso]],2,FALSE))/15)*VLOOKUP(Vértices!G66,Tabela7[[Classificação]:[Peso]],2,FALSE)*VLOOKUP(Vértices!H66,Tabela8[[Classificação]:[Peso]],2,FALSE)*VLOOKUP(Vértices!I66,Tabela9[[Classificação]:[Peso]],2,FALSE)</f>
        <v>20428.849637673255</v>
      </c>
      <c r="L7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2" spans="4:12" ht="15" x14ac:dyDescent="0.2">
      <c r="D72" s="6" t="s">
        <v>32</v>
      </c>
      <c r="E72" s="6" t="s">
        <v>56</v>
      </c>
      <c r="F72" s="6">
        <f>Vértices!C67</f>
        <v>31751.632996401167</v>
      </c>
      <c r="G72" s="17" t="str">
        <f>IF($C$2="Caminhão",Vértices!F67,"Sim")</f>
        <v>Sim</v>
      </c>
      <c r="H72" s="13" t="str">
        <f>IF(OR($C$3="Sem chuva",$I72=0), "Não",IF($D$3&gt;=Tabela12[[#This Row],[Chuva]],"Sim","Não"))</f>
        <v>Não</v>
      </c>
      <c r="I72" s="13">
        <f>VLOOKUP(Vértices!E67,Tabela5[],2,)</f>
        <v>0</v>
      </c>
      <c r="J72" s="13" t="str">
        <f>IF(AND(Vértices!$J67="Sim",OR(Pesos!$D$4="Madrugada",Pesos!$D$4="Noite")),"Via bloqueada", "Via liberada")</f>
        <v>Via liberada</v>
      </c>
      <c r="K72" s="13">
        <f>Tabela12[[#This Row],[Distância (m)]]*((1*VLOOKUP(Vértices!$G67,Tabela7[[Classificação]:[Peso]],2,FALSE)+2*VLOOKUP(Vértices!I67,Tabela9[[Classificação]:[Peso]],2,FALSE)+3*VLOOKUP(Pesos!$C$5,Tabela11[[Classificação]:[Peso]],2,FALSE)+4*VLOOKUP(Vértices!H67,Tabela8[[Classificação]:[Peso]],2,FALSE)+5*VLOOKUP($D$3,Tabela5[[Fator Chuva]:[Peso]],2,FALSE))/15)*VLOOKUP(Vértices!G67,Tabela7[[Classificação]:[Peso]],2,FALSE)*VLOOKUP(Vértices!H67,Tabela8[[Classificação]:[Peso]],2,FALSE)*VLOOKUP(Vértices!I67,Tabela9[[Classificação]:[Peso]],2,FALSE)</f>
        <v>47627.449494601751</v>
      </c>
      <c r="L72" s="13">
        <f>IF(OR(Tabela12[[#This Row],[Vai poder passar?]]="Não",Tabela12[[#This Row],[Via Alagada?]]="Sim",Tabela12[[#This Row],[Criminalidade]]="Via bloqueada"), "Ignorar rota", Tabela12[[#This Row],[Peso]])</f>
        <v>47627.449494601751</v>
      </c>
    </row>
    <row r="73" spans="4:12" ht="15" x14ac:dyDescent="0.2">
      <c r="D73" s="9" t="s">
        <v>33</v>
      </c>
      <c r="E73" s="9" t="s">
        <v>18</v>
      </c>
      <c r="F73" s="9">
        <f>Vértices!C68</f>
        <v>11257.296327691012</v>
      </c>
      <c r="G73" s="17" t="str">
        <f>IF($C$2="Caminhão",Vértices!F68,"Sim")</f>
        <v>Sim</v>
      </c>
      <c r="H73" s="13" t="str">
        <f>IF(OR($C$3="Sem chuva",$I73=0), "Não",IF($D$3&gt;=Tabela12[[#This Row],[Chuva]],"Sim","Não"))</f>
        <v>Sim</v>
      </c>
      <c r="I73" s="13">
        <f>VLOOKUP(Vértices!E68,Tabela5[],2,)</f>
        <v>5</v>
      </c>
      <c r="J73" s="13" t="str">
        <f>IF(AND(Vértices!$J68="Sim",OR(Pesos!$D$4="Madrugada",Pesos!$D$4="Noite")),"Via bloqueada", "Via liberada")</f>
        <v>Via liberada</v>
      </c>
      <c r="K73" s="13">
        <f>Tabela12[[#This Row],[Distância (m)]]*((1*VLOOKUP(Vértices!$G68,Tabela7[[Classificação]:[Peso]],2,FALSE)+2*VLOOKUP(Vértices!I68,Tabela9[[Classificação]:[Peso]],2,FALSE)+3*VLOOKUP(Pesos!$C$5,Tabela11[[Classificação]:[Peso]],2,FALSE)+4*VLOOKUP(Vértices!H68,Tabela8[[Classificação]:[Peso]],2,FALSE)+5*VLOOKUP($D$3,Tabela5[[Fator Chuva]:[Peso]],2,FALSE))/15)*VLOOKUP(Vértices!G68,Tabela7[[Classificação]:[Peso]],2,FALSE)*VLOOKUP(Vértices!H68,Tabela8[[Classificação]:[Peso]],2,FALSE)*VLOOKUP(Vértices!I68,Tabela9[[Classificação]:[Peso]],2,FALSE)</f>
        <v>65855.183516992431</v>
      </c>
      <c r="L7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4" spans="4:12" ht="15" x14ac:dyDescent="0.2">
      <c r="D74" s="6" t="s">
        <v>33</v>
      </c>
      <c r="E74" s="6" t="s">
        <v>81</v>
      </c>
      <c r="F74" s="6">
        <f>Vértices!C69</f>
        <v>6308.9161267976024</v>
      </c>
      <c r="G74" s="17" t="str">
        <f>IF($C$2="Caminhão",Vértices!F69,"Sim")</f>
        <v>Sim</v>
      </c>
      <c r="H74" s="13" t="str">
        <f>IF(OR($C$3="Sem chuva",$I74=0), "Não",IF($D$3&gt;=Tabela12[[#This Row],[Chuva]],"Sim","Não"))</f>
        <v>Não</v>
      </c>
      <c r="I74" s="13">
        <f>VLOOKUP(Vértices!E69,Tabela5[],2,)</f>
        <v>0</v>
      </c>
      <c r="J74" s="13" t="str">
        <f>IF(AND(Vértices!$J69="Sim",OR(Pesos!$D$4="Madrugada",Pesos!$D$4="Noite")),"Via bloqueada", "Via liberada")</f>
        <v>Via liberada</v>
      </c>
      <c r="K74" s="13">
        <f>Tabela12[[#This Row],[Distância (m)]]*((1*VLOOKUP(Vértices!$G69,Tabela7[[Classificação]:[Peso]],2,FALSE)+2*VLOOKUP(Vértices!I69,Tabela9[[Classificação]:[Peso]],2,FALSE)+3*VLOOKUP(Pesos!$C$5,Tabela11[[Classificação]:[Peso]],2,FALSE)+4*VLOOKUP(Vértices!H69,Tabela8[[Classificação]:[Peso]],2,FALSE)+5*VLOOKUP($D$3,Tabela5[[Fator Chuva]:[Peso]],2,FALSE))/15)*VLOOKUP(Vértices!G69,Tabela7[[Classificação]:[Peso]],2,FALSE)*VLOOKUP(Vértices!H69,Tabela8[[Classificação]:[Peso]],2,FALSE)*VLOOKUP(Vértices!I69,Tabela9[[Classificação]:[Peso]],2,FALSE)</f>
        <v>47947.762563661774</v>
      </c>
      <c r="L74" s="13">
        <f>IF(OR(Tabela12[[#This Row],[Vai poder passar?]]="Não",Tabela12[[#This Row],[Via Alagada?]]="Sim",Tabela12[[#This Row],[Criminalidade]]="Via bloqueada"), "Ignorar rota", Tabela12[[#This Row],[Peso]])</f>
        <v>47947.762563661774</v>
      </c>
    </row>
    <row r="75" spans="4:12" ht="15" x14ac:dyDescent="0.2">
      <c r="D75" s="9" t="s">
        <v>34</v>
      </c>
      <c r="E75" s="9" t="s">
        <v>102</v>
      </c>
      <c r="F75" s="9">
        <f>Vértices!C70</f>
        <v>821.93167807641612</v>
      </c>
      <c r="G75" s="17" t="str">
        <f>IF($C$2="Caminhão",Vértices!F70,"Sim")</f>
        <v>Sim</v>
      </c>
      <c r="H75" s="13" t="str">
        <f>IF(OR($C$3="Sem chuva",$I75=0), "Não",IF($D$3&gt;=Tabela12[[#This Row],[Chuva]],"Sim","Não"))</f>
        <v>Sim</v>
      </c>
      <c r="I75" s="13">
        <f>VLOOKUP(Vértices!E70,Tabela5[],2,)</f>
        <v>4</v>
      </c>
      <c r="J75" s="13" t="str">
        <f>IF(AND(Vértices!$J70="Sim",OR(Pesos!$D$4="Madrugada",Pesos!$D$4="Noite")),"Via bloqueada", "Via liberada")</f>
        <v>Via liberada</v>
      </c>
      <c r="K75" s="13">
        <f>Tabela12[[#This Row],[Distância (m)]]*((1*VLOOKUP(Vértices!$G70,Tabela7[[Classificação]:[Peso]],2,FALSE)+2*VLOOKUP(Vértices!I70,Tabela9[[Classificação]:[Peso]],2,FALSE)+3*VLOOKUP(Pesos!$C$5,Tabela11[[Classificação]:[Peso]],2,FALSE)+4*VLOOKUP(Vértices!H70,Tabela8[[Classificação]:[Peso]],2,FALSE)+5*VLOOKUP($D$3,Tabela5[[Fator Chuva]:[Peso]],2,FALSE))/15)*VLOOKUP(Vértices!G70,Tabela7[[Classificação]:[Peso]],2,FALSE)*VLOOKUP(Vértices!H70,Tabela8[[Classificação]:[Peso]],2,FALSE)*VLOOKUP(Vértices!I70,Tabela9[[Classificação]:[Peso]],2,FALSE)</f>
        <v>9534.4074656864268</v>
      </c>
      <c r="L7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6" spans="4:12" ht="15" x14ac:dyDescent="0.2">
      <c r="D76" s="6" t="s">
        <v>34</v>
      </c>
      <c r="E76" s="6" t="s">
        <v>106</v>
      </c>
      <c r="F76" s="6">
        <f>Vértices!C71</f>
        <v>11704.297130323906</v>
      </c>
      <c r="G76" s="17" t="str">
        <f>IF($C$2="Caminhão",Vértices!F71,"Sim")</f>
        <v>Sim</v>
      </c>
      <c r="H76" s="13" t="str">
        <f>IF(OR($C$3="Sem chuva",$I76=0), "Não",IF($D$3&gt;=Tabela12[[#This Row],[Chuva]],"Sim","Não"))</f>
        <v>Sim</v>
      </c>
      <c r="I76" s="13">
        <f>VLOOKUP(Vértices!E71,Tabela5[],2,)</f>
        <v>4</v>
      </c>
      <c r="J76" s="13" t="str">
        <f>IF(AND(Vértices!$J71="Sim",OR(Pesos!$D$4="Madrugada",Pesos!$D$4="Noite")),"Via bloqueada", "Via liberada")</f>
        <v>Via liberada</v>
      </c>
      <c r="K76" s="13">
        <f>Tabela12[[#This Row],[Distância (m)]]*((1*VLOOKUP(Vértices!$G71,Tabela7[[Classificação]:[Peso]],2,FALSE)+2*VLOOKUP(Vértices!I71,Tabela9[[Classificação]:[Peso]],2,FALSE)+3*VLOOKUP(Pesos!$C$5,Tabela11[[Classificação]:[Peso]],2,FALSE)+4*VLOOKUP(Vértices!H71,Tabela8[[Classificação]:[Peso]],2,FALSE)+5*VLOOKUP($D$3,Tabela5[[Fator Chuva]:[Peso]],2,FALSE))/15)*VLOOKUP(Vértices!G71,Tabela7[[Classificação]:[Peso]],2,FALSE)*VLOOKUP(Vértices!H71,Tabela8[[Classificação]:[Peso]],2,FALSE)*VLOOKUP(Vértices!I71,Tabela9[[Classificação]:[Peso]],2,FALSE)</f>
        <v>118993.68749162636</v>
      </c>
      <c r="L7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7" spans="4:12" ht="15" x14ac:dyDescent="0.2">
      <c r="D77" s="9" t="s">
        <v>35</v>
      </c>
      <c r="E77" s="9" t="s">
        <v>72</v>
      </c>
      <c r="F77" s="9">
        <f>Vértices!C72</f>
        <v>1589.3069015872893</v>
      </c>
      <c r="G77" s="17" t="str">
        <f>IF($C$2="Caminhão",Vértices!F72,"Sim")</f>
        <v>Não</v>
      </c>
      <c r="H77" s="13" t="str">
        <f>IF(OR($C$3="Sem chuva",$I77=0), "Não",IF($D$3&gt;=Tabela12[[#This Row],[Chuva]],"Sim","Não"))</f>
        <v>Não</v>
      </c>
      <c r="I77" s="13">
        <f>VLOOKUP(Vértices!E72,Tabela5[],2,)</f>
        <v>0</v>
      </c>
      <c r="J77" s="13" t="str">
        <f>IF(AND(Vértices!$J72="Sim",OR(Pesos!$D$4="Madrugada",Pesos!$D$4="Noite")),"Via bloqueada", "Via liberada")</f>
        <v>Via liberada</v>
      </c>
      <c r="K77" s="13">
        <f>Tabela12[[#This Row],[Distância (m)]]*((1*VLOOKUP(Vértices!$G72,Tabela7[[Classificação]:[Peso]],2,FALSE)+2*VLOOKUP(Vértices!I72,Tabela9[[Classificação]:[Peso]],2,FALSE)+3*VLOOKUP(Pesos!$C$5,Tabela11[[Classificação]:[Peso]],2,FALSE)+4*VLOOKUP(Vértices!H72,Tabela8[[Classificação]:[Peso]],2,FALSE)+5*VLOOKUP($D$3,Tabela5[[Fator Chuva]:[Peso]],2,FALSE))/15)*VLOOKUP(Vértices!G72,Tabela7[[Classificação]:[Peso]],2,FALSE)*VLOOKUP(Vértices!H72,Tabela8[[Classificação]:[Peso]],2,FALSE)*VLOOKUP(Vértices!I72,Tabela9[[Classificação]:[Peso]],2,FALSE)</f>
        <v>9297.4453742856422</v>
      </c>
      <c r="L7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8" spans="4:12" ht="15" x14ac:dyDescent="0.2">
      <c r="D78" s="6" t="s">
        <v>35</v>
      </c>
      <c r="E78" s="6" t="s">
        <v>6</v>
      </c>
      <c r="F78" s="6">
        <f>Vértices!C73</f>
        <v>17379.043467481028</v>
      </c>
      <c r="G78" s="17" t="str">
        <f>IF($C$2="Caminhão",Vértices!F73,"Sim")</f>
        <v>Sim</v>
      </c>
      <c r="H78" s="13" t="str">
        <f>IF(OR($C$3="Sem chuva",$I78=0), "Não",IF($D$3&gt;=Tabela12[[#This Row],[Chuva]],"Sim","Não"))</f>
        <v>Sim</v>
      </c>
      <c r="I78" s="13">
        <f>VLOOKUP(Vértices!E73,Tabela5[],2,)</f>
        <v>5</v>
      </c>
      <c r="J78" s="13" t="str">
        <f>IF(AND(Vértices!$J73="Sim",OR(Pesos!$D$4="Madrugada",Pesos!$D$4="Noite")),"Via bloqueada", "Via liberada")</f>
        <v>Via liberada</v>
      </c>
      <c r="K78" s="13">
        <f>Tabela12[[#This Row],[Distância (m)]]*((1*VLOOKUP(Vértices!$G73,Tabela7[[Classificação]:[Peso]],2,FALSE)+2*VLOOKUP(Vértices!I73,Tabela9[[Classificação]:[Peso]],2,FALSE)+3*VLOOKUP(Pesos!$C$5,Tabela11[[Classificação]:[Peso]],2,FALSE)+4*VLOOKUP(Vértices!H73,Tabela8[[Classificação]:[Peso]],2,FALSE)+5*VLOOKUP($D$3,Tabela5[[Fator Chuva]:[Peso]],2,FALSE))/15)*VLOOKUP(Vértices!G73,Tabela7[[Classificação]:[Peso]],2,FALSE)*VLOOKUP(Vértices!H73,Tabela8[[Classificação]:[Peso]],2,FALSE)*VLOOKUP(Vértices!I73,Tabela9[[Classificação]:[Peso]],2,FALSE)</f>
        <v>101667.40428476402</v>
      </c>
      <c r="L7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79" spans="4:12" ht="15" x14ac:dyDescent="0.2">
      <c r="D79" s="9" t="s">
        <v>36</v>
      </c>
      <c r="E79" s="9" t="s">
        <v>25</v>
      </c>
      <c r="F79" s="9">
        <f>Vértices!C74</f>
        <v>581.11059502756655</v>
      </c>
      <c r="G79" s="17" t="str">
        <f>IF($C$2="Caminhão",Vértices!F74,"Sim")</f>
        <v>Sim</v>
      </c>
      <c r="H79" s="13" t="str">
        <f>IF(OR($C$3="Sem chuva",$I79=0), "Não",IF($D$3&gt;=Tabela12[[#This Row],[Chuva]],"Sim","Não"))</f>
        <v>Sim</v>
      </c>
      <c r="I79" s="13">
        <f>VLOOKUP(Vértices!E74,Tabela5[],2,)</f>
        <v>5</v>
      </c>
      <c r="J79" s="13" t="str">
        <f>IF(AND(Vértices!$J74="Sim",OR(Pesos!$D$4="Madrugada",Pesos!$D$4="Noite")),"Via bloqueada", "Via liberada")</f>
        <v>Via liberada</v>
      </c>
      <c r="K79" s="13">
        <f>Tabela12[[#This Row],[Distância (m)]]*((1*VLOOKUP(Vértices!$G74,Tabela7[[Classificação]:[Peso]],2,FALSE)+2*VLOOKUP(Vértices!I74,Tabela9[[Classificação]:[Peso]],2,FALSE)+3*VLOOKUP(Pesos!$C$5,Tabela11[[Classificação]:[Peso]],2,FALSE)+4*VLOOKUP(Vértices!H74,Tabela8[[Classificação]:[Peso]],2,FALSE)+5*VLOOKUP($D$3,Tabela5[[Fator Chuva]:[Peso]],2,FALSE))/15)*VLOOKUP(Vértices!G74,Tabela7[[Classificação]:[Peso]],2,FALSE)*VLOOKUP(Vértices!H74,Tabela8[[Classificação]:[Peso]],2,FALSE)*VLOOKUP(Vértices!I74,Tabela9[[Classificação]:[Peso]],2,FALSE)</f>
        <v>5907.9577161135931</v>
      </c>
      <c r="L7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80" spans="4:12" ht="15" x14ac:dyDescent="0.2">
      <c r="D80" s="6" t="s">
        <v>36</v>
      </c>
      <c r="E80" s="6" t="s">
        <v>93</v>
      </c>
      <c r="F80" s="6">
        <f>Vértices!C75</f>
        <v>16405.116975264409</v>
      </c>
      <c r="G80" s="17" t="str">
        <f>IF($C$2="Caminhão",Vértices!F75,"Sim")</f>
        <v>Sim</v>
      </c>
      <c r="H80" s="13" t="str">
        <f>IF(OR($C$3="Sem chuva",$I80=0), "Não",IF($D$3&gt;=Tabela12[[#This Row],[Chuva]],"Sim","Não"))</f>
        <v>Sim</v>
      </c>
      <c r="I80" s="13">
        <f>VLOOKUP(Vértices!E75,Tabela5[],2,)</f>
        <v>5</v>
      </c>
      <c r="J80" s="13" t="str">
        <f>IF(AND(Vértices!$J75="Sim",OR(Pesos!$D$4="Madrugada",Pesos!$D$4="Noite")),"Via bloqueada", "Via liberada")</f>
        <v>Via liberada</v>
      </c>
      <c r="K80" s="13">
        <f>Tabela12[[#This Row],[Distância (m)]]*((1*VLOOKUP(Vértices!$G75,Tabela7[[Classificação]:[Peso]],2,FALSE)+2*VLOOKUP(Vértices!I75,Tabela9[[Classificação]:[Peso]],2,FALSE)+3*VLOOKUP(Pesos!$C$5,Tabela11[[Classificação]:[Peso]],2,FALSE)+4*VLOOKUP(Vértices!H75,Tabela8[[Classificação]:[Peso]],2,FALSE)+5*VLOOKUP($D$3,Tabela5[[Fator Chuva]:[Peso]],2,FALSE))/15)*VLOOKUP(Vértices!G75,Tabela7[[Classificação]:[Peso]],2,FALSE)*VLOOKUP(Vértices!H75,Tabela8[[Classificação]:[Peso]],2,FALSE)*VLOOKUP(Vértices!I75,Tabela9[[Classificação]:[Peso]],2,FALSE)</f>
        <v>166785.35591518815</v>
      </c>
      <c r="L8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81" spans="4:12" ht="15" x14ac:dyDescent="0.2">
      <c r="D81" s="9" t="s">
        <v>37</v>
      </c>
      <c r="E81" s="9" t="s">
        <v>27</v>
      </c>
      <c r="F81" s="9">
        <f>Vértices!C76</f>
        <v>11227.65865369478</v>
      </c>
      <c r="G81" s="17" t="str">
        <f>IF($C$2="Caminhão",Vértices!F76,"Sim")</f>
        <v>Sim</v>
      </c>
      <c r="H81" s="13" t="str">
        <f>IF(OR($C$3="Sem chuva",$I81=0), "Não",IF($D$3&gt;=Tabela12[[#This Row],[Chuva]],"Sim","Não"))</f>
        <v>Não</v>
      </c>
      <c r="I81" s="13">
        <f>VLOOKUP(Vértices!E76,Tabela5[],2,)</f>
        <v>6</v>
      </c>
      <c r="J81" s="13" t="str">
        <f>IF(AND(Vértices!$J76="Sim",OR(Pesos!$D$4="Madrugada",Pesos!$D$4="Noite")),"Via bloqueada", "Via liberada")</f>
        <v>Via liberada</v>
      </c>
      <c r="K81" s="13">
        <f>Tabela12[[#This Row],[Distância (m)]]*((1*VLOOKUP(Vértices!$G76,Tabela7[[Classificação]:[Peso]],2,FALSE)+2*VLOOKUP(Vértices!I76,Tabela9[[Classificação]:[Peso]],2,FALSE)+3*VLOOKUP(Pesos!$C$5,Tabela11[[Classificação]:[Peso]],2,FALSE)+4*VLOOKUP(Vértices!H76,Tabela8[[Classificação]:[Peso]],2,FALSE)+5*VLOOKUP($D$3,Tabela5[[Fator Chuva]:[Peso]],2,FALSE))/15)*VLOOKUP(Vértices!G76,Tabela7[[Classificação]:[Peso]],2,FALSE)*VLOOKUP(Vértices!H76,Tabela8[[Classificação]:[Peso]],2,FALSE)*VLOOKUP(Vértices!I76,Tabela9[[Classificação]:[Peso]],2,FALSE)</f>
        <v>85330.205768080326</v>
      </c>
      <c r="L81" s="13">
        <f>IF(OR(Tabela12[[#This Row],[Vai poder passar?]]="Não",Tabela12[[#This Row],[Via Alagada?]]="Sim",Tabela12[[#This Row],[Criminalidade]]="Via bloqueada"), "Ignorar rota", Tabela12[[#This Row],[Peso]])</f>
        <v>85330.205768080326</v>
      </c>
    </row>
    <row r="82" spans="4:12" ht="15" x14ac:dyDescent="0.2">
      <c r="D82" s="6" t="s">
        <v>37</v>
      </c>
      <c r="E82" s="6" t="s">
        <v>61</v>
      </c>
      <c r="F82" s="6">
        <f>Vértices!C77</f>
        <v>1435.525547429319</v>
      </c>
      <c r="G82" s="17" t="str">
        <f>IF($C$2="Caminhão",Vértices!F77,"Sim")</f>
        <v>Sim</v>
      </c>
      <c r="H82" s="13" t="str">
        <f>IF(OR($C$3="Sem chuva",$I82=0), "Não",IF($D$3&gt;=Tabela12[[#This Row],[Chuva]],"Sim","Não"))</f>
        <v>Não</v>
      </c>
      <c r="I82" s="13">
        <f>VLOOKUP(Vértices!E77,Tabela5[],2,)</f>
        <v>6</v>
      </c>
      <c r="J82" s="13" t="str">
        <f>IF(AND(Vértices!$J77="Sim",OR(Pesos!$D$4="Madrugada",Pesos!$D$4="Noite")),"Via bloqueada", "Via liberada")</f>
        <v>Via liberada</v>
      </c>
      <c r="K82" s="13">
        <f>Tabela12[[#This Row],[Distância (m)]]*((1*VLOOKUP(Vértices!$G77,Tabela7[[Classificação]:[Peso]],2,FALSE)+2*VLOOKUP(Vértices!I77,Tabela9[[Classificação]:[Peso]],2,FALSE)+3*VLOOKUP(Pesos!$C$5,Tabela11[[Classificação]:[Peso]],2,FALSE)+4*VLOOKUP(Vértices!H77,Tabela8[[Classificação]:[Peso]],2,FALSE)+5*VLOOKUP($D$3,Tabela5[[Fator Chuva]:[Peso]],2,FALSE))/15)*VLOOKUP(Vértices!G77,Tabela7[[Classificação]:[Peso]],2,FALSE)*VLOOKUP(Vértices!H77,Tabela8[[Classificação]:[Peso]],2,FALSE)*VLOOKUP(Vértices!I77,Tabela9[[Classificação]:[Peso]],2,FALSE)</f>
        <v>14594.509732198076</v>
      </c>
      <c r="L82" s="13">
        <f>IF(OR(Tabela12[[#This Row],[Vai poder passar?]]="Não",Tabela12[[#This Row],[Via Alagada?]]="Sim",Tabela12[[#This Row],[Criminalidade]]="Via bloqueada"), "Ignorar rota", Tabela12[[#This Row],[Peso]])</f>
        <v>14594.509732198076</v>
      </c>
    </row>
    <row r="83" spans="4:12" ht="15" x14ac:dyDescent="0.2">
      <c r="D83" s="9" t="s">
        <v>38</v>
      </c>
      <c r="E83" s="9" t="s">
        <v>46</v>
      </c>
      <c r="F83" s="9">
        <f>Vértices!C78</f>
        <v>16986.107836777268</v>
      </c>
      <c r="G83" s="17" t="str">
        <f>IF($C$2="Caminhão",Vértices!F78,"Sim")</f>
        <v>Sim</v>
      </c>
      <c r="H83" s="13" t="str">
        <f>IF(OR($C$3="Sem chuva",$I83=0), "Não",IF($D$3&gt;=Tabela12[[#This Row],[Chuva]],"Sim","Não"))</f>
        <v>Não</v>
      </c>
      <c r="I83" s="13">
        <f>VLOOKUP(Vértices!E78,Tabela5[],2,)</f>
        <v>6</v>
      </c>
      <c r="J83" s="13" t="str">
        <f>IF(AND(Vértices!$J78="Sim",OR(Pesos!$D$4="Madrugada",Pesos!$D$4="Noite")),"Via bloqueada", "Via liberada")</f>
        <v>Via liberada</v>
      </c>
      <c r="K83" s="13">
        <f>Tabela12[[#This Row],[Distância (m)]]*((1*VLOOKUP(Vértices!$G78,Tabela7[[Classificação]:[Peso]],2,FALSE)+2*VLOOKUP(Vértices!I78,Tabela9[[Classificação]:[Peso]],2,FALSE)+3*VLOOKUP(Pesos!$C$5,Tabela11[[Classificação]:[Peso]],2,FALSE)+4*VLOOKUP(Vértices!H78,Tabela8[[Classificação]:[Peso]],2,FALSE)+5*VLOOKUP($D$3,Tabela5[[Fator Chuva]:[Peso]],2,FALSE))/15)*VLOOKUP(Vértices!G78,Tabela7[[Classificação]:[Peso]],2,FALSE)*VLOOKUP(Vértices!H78,Tabela8[[Classificação]:[Peso]],2,FALSE)*VLOOKUP(Vértices!I78,Tabela9[[Classificação]:[Peso]],2,FALSE)</f>
        <v>172692.09634056891</v>
      </c>
      <c r="L83" s="13">
        <f>IF(OR(Tabela12[[#This Row],[Vai poder passar?]]="Não",Tabela12[[#This Row],[Via Alagada?]]="Sim",Tabela12[[#This Row],[Criminalidade]]="Via bloqueada"), "Ignorar rota", Tabela12[[#This Row],[Peso]])</f>
        <v>172692.09634056891</v>
      </c>
    </row>
    <row r="84" spans="4:12" ht="15" x14ac:dyDescent="0.2">
      <c r="D84" s="6" t="s">
        <v>38</v>
      </c>
      <c r="E84" s="6" t="s">
        <v>79</v>
      </c>
      <c r="F84" s="6">
        <f>Vértices!C79</f>
        <v>1434.891424379945</v>
      </c>
      <c r="G84" s="17" t="str">
        <f>IF($C$2="Caminhão",Vértices!F79,"Sim")</f>
        <v>Sim</v>
      </c>
      <c r="H84" s="13" t="str">
        <f>IF(OR($C$3="Sem chuva",$I84=0), "Não",IF($D$3&gt;=Tabela12[[#This Row],[Chuva]],"Sim","Não"))</f>
        <v>Não</v>
      </c>
      <c r="I84" s="13">
        <f>VLOOKUP(Vértices!E79,Tabela5[],2,)</f>
        <v>0</v>
      </c>
      <c r="J84" s="13" t="str">
        <f>IF(AND(Vértices!$J79="Sim",OR(Pesos!$D$4="Madrugada",Pesos!$D$4="Noite")),"Via bloqueada", "Via liberada")</f>
        <v>Via liberada</v>
      </c>
      <c r="K84" s="13">
        <f>Tabela12[[#This Row],[Distância (m)]]*((1*VLOOKUP(Vértices!$G79,Tabela7[[Classificação]:[Peso]],2,FALSE)+2*VLOOKUP(Vértices!I79,Tabela9[[Classificação]:[Peso]],2,FALSE)+3*VLOOKUP(Pesos!$C$5,Tabela11[[Classificação]:[Peso]],2,FALSE)+4*VLOOKUP(Vértices!H79,Tabela8[[Classificação]:[Peso]],2,FALSE)+5*VLOOKUP($D$3,Tabela5[[Fator Chuva]:[Peso]],2,FALSE))/15)*VLOOKUP(Vértices!G79,Tabela7[[Classificação]:[Peso]],2,FALSE)*VLOOKUP(Vértices!H79,Tabela8[[Classificação]:[Peso]],2,FALSE)*VLOOKUP(Vértices!I79,Tabela9[[Classificação]:[Peso]],2,FALSE)</f>
        <v>8394.1148326226776</v>
      </c>
      <c r="L84" s="13">
        <f>IF(OR(Tabela12[[#This Row],[Vai poder passar?]]="Não",Tabela12[[#This Row],[Via Alagada?]]="Sim",Tabela12[[#This Row],[Criminalidade]]="Via bloqueada"), "Ignorar rota", Tabela12[[#This Row],[Peso]])</f>
        <v>8394.1148326226776</v>
      </c>
    </row>
    <row r="85" spans="4:12" ht="15" x14ac:dyDescent="0.2">
      <c r="D85" s="9" t="s">
        <v>39</v>
      </c>
      <c r="E85" s="9" t="s">
        <v>21</v>
      </c>
      <c r="F85" s="9">
        <f>Vértices!C80</f>
        <v>1623.4973176324163</v>
      </c>
      <c r="G85" s="17" t="str">
        <f>IF($C$2="Caminhão",Vértices!F80,"Sim")</f>
        <v>Sim</v>
      </c>
      <c r="H85" s="13" t="str">
        <f>IF(OR($C$3="Sem chuva",$I85=0), "Não",IF($D$3&gt;=Tabela12[[#This Row],[Chuva]],"Sim","Não"))</f>
        <v>Sim</v>
      </c>
      <c r="I85" s="13">
        <f>VLOOKUP(Vértices!E80,Tabela5[],2,)</f>
        <v>4</v>
      </c>
      <c r="J85" s="13" t="str">
        <f>IF(AND(Vértices!$J80="Sim",OR(Pesos!$D$4="Madrugada",Pesos!$D$4="Noite")),"Via bloqueada", "Via liberada")</f>
        <v>Via liberada</v>
      </c>
      <c r="K85" s="13">
        <f>Tabela12[[#This Row],[Distância (m)]]*((1*VLOOKUP(Vértices!$G80,Tabela7[[Classificação]:[Peso]],2,FALSE)+2*VLOOKUP(Vértices!I80,Tabela9[[Classificação]:[Peso]],2,FALSE)+3*VLOOKUP(Pesos!$C$5,Tabela11[[Classificação]:[Peso]],2,FALSE)+4*VLOOKUP(Vértices!H80,Tabela8[[Classificação]:[Peso]],2,FALSE)+5*VLOOKUP($D$3,Tabela5[[Fator Chuva]:[Peso]],2,FALSE))/15)*VLOOKUP(Vértices!G80,Tabela7[[Classificação]:[Peso]],2,FALSE)*VLOOKUP(Vértices!H80,Tabela8[[Classificação]:[Peso]],2,FALSE)*VLOOKUP(Vértices!I80,Tabela9[[Classificação]:[Peso]],2,FALSE)</f>
        <v>25164.208423302458</v>
      </c>
      <c r="L8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86" spans="4:12" ht="15" x14ac:dyDescent="0.2">
      <c r="D86" s="6" t="s">
        <v>39</v>
      </c>
      <c r="E86" s="6" t="s">
        <v>99</v>
      </c>
      <c r="F86" s="6">
        <f>Vértices!C81</f>
        <v>17259.295905941792</v>
      </c>
      <c r="G86" s="17" t="str">
        <f>IF($C$2="Caminhão",Vértices!F81,"Sim")</f>
        <v>Sim</v>
      </c>
      <c r="H86" s="13" t="str">
        <f>IF(OR($C$3="Sem chuva",$I86=0), "Não",IF($D$3&gt;=Tabela12[[#This Row],[Chuva]],"Sim","Não"))</f>
        <v>Sim</v>
      </c>
      <c r="I86" s="13">
        <f>VLOOKUP(Vértices!E81,Tabela5[],2,)</f>
        <v>4</v>
      </c>
      <c r="J86" s="13" t="str">
        <f>IF(AND(Vértices!$J81="Sim",OR(Pesos!$D$4="Madrugada",Pesos!$D$4="Noite")),"Via bloqueada", "Via liberada")</f>
        <v>Via liberada</v>
      </c>
      <c r="K86" s="13">
        <f>Tabela12[[#This Row],[Distância (m)]]*((1*VLOOKUP(Vértices!$G81,Tabela7[[Classificação]:[Peso]],2,FALSE)+2*VLOOKUP(Vértices!I81,Tabela9[[Classificação]:[Peso]],2,FALSE)+3*VLOOKUP(Pesos!$C$5,Tabela11[[Classificação]:[Peso]],2,FALSE)+4*VLOOKUP(Vértices!H81,Tabela8[[Classificação]:[Peso]],2,FALSE)+5*VLOOKUP($D$3,Tabela5[[Fator Chuva]:[Peso]],2,FALSE))/15)*VLOOKUP(Vértices!G81,Tabela7[[Classificação]:[Peso]],2,FALSE)*VLOOKUP(Vértices!H81,Tabela8[[Classificação]:[Peso]],2,FALSE)*VLOOKUP(Vértices!I81,Tabela9[[Classificação]:[Peso]],2,FALSE)</f>
        <v>267519.08654209779</v>
      </c>
      <c r="L8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87" spans="4:12" ht="15" x14ac:dyDescent="0.2">
      <c r="D87" s="9" t="s">
        <v>40</v>
      </c>
      <c r="E87" s="9" t="s">
        <v>69</v>
      </c>
      <c r="F87" s="9">
        <f>Vértices!C82</f>
        <v>4104.2197829174766</v>
      </c>
      <c r="G87" s="17" t="str">
        <f>IF($C$2="Caminhão",Vértices!F82,"Sim")</f>
        <v>Sim</v>
      </c>
      <c r="H87" s="13" t="str">
        <f>IF(OR($C$3="Sem chuva",$I87=0), "Não",IF($D$3&gt;=Tabela12[[#This Row],[Chuva]],"Sim","Não"))</f>
        <v>Não</v>
      </c>
      <c r="I87" s="13">
        <f>VLOOKUP(Vértices!E82,Tabela5[],2,)</f>
        <v>0</v>
      </c>
      <c r="J87" s="13" t="str">
        <f>IF(AND(Vértices!$J82="Sim",OR(Pesos!$D$4="Madrugada",Pesos!$D$4="Noite")),"Via bloqueada", "Via liberada")</f>
        <v>Via liberada</v>
      </c>
      <c r="K87" s="13">
        <f>Tabela12[[#This Row],[Distância (m)]]*((1*VLOOKUP(Vértices!$G82,Tabela7[[Classificação]:[Peso]],2,FALSE)+2*VLOOKUP(Vértices!I82,Tabela9[[Classificação]:[Peso]],2,FALSE)+3*VLOOKUP(Pesos!$C$5,Tabela11[[Classificação]:[Peso]],2,FALSE)+4*VLOOKUP(Vértices!H82,Tabela8[[Classificação]:[Peso]],2,FALSE)+5*VLOOKUP($D$3,Tabela5[[Fator Chuva]:[Peso]],2,FALSE))/15)*VLOOKUP(Vértices!G82,Tabela7[[Classificação]:[Peso]],2,FALSE)*VLOOKUP(Vértices!H82,Tabela8[[Classificação]:[Peso]],2,FALSE)*VLOOKUP(Vértices!I82,Tabela9[[Classificação]:[Peso]],2,FALSE)</f>
        <v>15390.824185940537</v>
      </c>
      <c r="L87" s="13">
        <f>IF(OR(Tabela12[[#This Row],[Vai poder passar?]]="Não",Tabela12[[#This Row],[Via Alagada?]]="Sim",Tabela12[[#This Row],[Criminalidade]]="Via bloqueada"), "Ignorar rota", Tabela12[[#This Row],[Peso]])</f>
        <v>15390.824185940537</v>
      </c>
    </row>
    <row r="88" spans="4:12" ht="15" x14ac:dyDescent="0.2">
      <c r="D88" s="6" t="s">
        <v>40</v>
      </c>
      <c r="E88" s="6" t="s">
        <v>68</v>
      </c>
      <c r="F88" s="6">
        <f>Vértices!C83</f>
        <v>67770.704794767982</v>
      </c>
      <c r="G88" s="17" t="str">
        <f>IF($C$2="Caminhão",Vértices!F83,"Sim")</f>
        <v>Sim</v>
      </c>
      <c r="H88" s="13" t="str">
        <f>IF(OR($C$3="Sem chuva",$I88=0), "Não",IF($D$3&gt;=Tabela12[[#This Row],[Chuva]],"Sim","Não"))</f>
        <v>Sim</v>
      </c>
      <c r="I88" s="13">
        <f>VLOOKUP(Vértices!E83,Tabela5[],2,)</f>
        <v>5</v>
      </c>
      <c r="J88" s="13" t="str">
        <f>IF(AND(Vértices!$J83="Sim",OR(Pesos!$D$4="Madrugada",Pesos!$D$4="Noite")),"Via bloqueada", "Via liberada")</f>
        <v>Via liberada</v>
      </c>
      <c r="K88" s="13">
        <f>Tabela12[[#This Row],[Distância (m)]]*((1*VLOOKUP(Vértices!$G83,Tabela7[[Classificação]:[Peso]],2,FALSE)+2*VLOOKUP(Vértices!I83,Tabela9[[Classificação]:[Peso]],2,FALSE)+3*VLOOKUP(Pesos!$C$5,Tabela11[[Classificação]:[Peso]],2,FALSE)+4*VLOOKUP(Vértices!H83,Tabela8[[Classificação]:[Peso]],2,FALSE)+5*VLOOKUP($D$3,Tabela5[[Fator Chuva]:[Peso]],2,FALSE))/15)*VLOOKUP(Vértices!G83,Tabela7[[Classificação]:[Peso]],2,FALSE)*VLOOKUP(Vértices!H83,Tabela8[[Classificação]:[Peso]],2,FALSE)*VLOOKUP(Vértices!I83,Tabela9[[Classificação]:[Peso]],2,FALSE)</f>
        <v>569273.92027605104</v>
      </c>
      <c r="L8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89" spans="4:12" ht="15" x14ac:dyDescent="0.2">
      <c r="D89" s="9" t="s">
        <v>41</v>
      </c>
      <c r="E89" s="9" t="s">
        <v>100</v>
      </c>
      <c r="F89" s="9">
        <f>Vértices!C84</f>
        <v>8851.872419097208</v>
      </c>
      <c r="G89" s="17" t="str">
        <f>IF($C$2="Caminhão",Vértices!F84,"Sim")</f>
        <v>Não</v>
      </c>
      <c r="H89" s="13" t="str">
        <f>IF(OR($C$3="Sem chuva",$I89=0), "Não",IF($D$3&gt;=Tabela12[[#This Row],[Chuva]],"Sim","Não"))</f>
        <v>Não</v>
      </c>
      <c r="I89" s="13">
        <f>VLOOKUP(Vértices!E84,Tabela5[],2,)</f>
        <v>0</v>
      </c>
      <c r="J89" s="13" t="str">
        <f>IF(AND(Vértices!$J84="Sim",OR(Pesos!$D$4="Madrugada",Pesos!$D$4="Noite")),"Via bloqueada", "Via liberada")</f>
        <v>Via liberada</v>
      </c>
      <c r="K89" s="13">
        <f>Tabela12[[#This Row],[Distância (m)]]*((1*VLOOKUP(Vértices!$G84,Tabela7[[Classificação]:[Peso]],2,FALSE)+2*VLOOKUP(Vértices!I84,Tabela9[[Classificação]:[Peso]],2,FALSE)+3*VLOOKUP(Pesos!$C$5,Tabela11[[Classificação]:[Peso]],2,FALSE)+4*VLOOKUP(Vértices!H84,Tabela8[[Classificação]:[Peso]],2,FALSE)+5*VLOOKUP($D$3,Tabela5[[Fator Chuva]:[Peso]],2,FALSE))/15)*VLOOKUP(Vértices!G84,Tabela7[[Classificação]:[Peso]],2,FALSE)*VLOOKUP(Vértices!H84,Tabela8[[Classificação]:[Peso]],2,FALSE)*VLOOKUP(Vértices!I84,Tabela9[[Classificação]:[Peso]],2,FALSE)</f>
        <v>20359.306563923579</v>
      </c>
      <c r="L8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0" spans="4:12" ht="15" x14ac:dyDescent="0.2">
      <c r="D90" s="6" t="s">
        <v>41</v>
      </c>
      <c r="E90" s="6" t="s">
        <v>19</v>
      </c>
      <c r="F90" s="6">
        <f>Vértices!C85</f>
        <v>1337.2253522959782</v>
      </c>
      <c r="G90" s="17" t="str">
        <f>IF($C$2="Caminhão",Vértices!F85,"Sim")</f>
        <v>Sim</v>
      </c>
      <c r="H90" s="13" t="str">
        <f>IF(OR($C$3="Sem chuva",$I90=0), "Não",IF($D$3&gt;=Tabela12[[#This Row],[Chuva]],"Sim","Não"))</f>
        <v>Não</v>
      </c>
      <c r="I90" s="13">
        <f>VLOOKUP(Vértices!E85,Tabela5[],2,)</f>
        <v>0</v>
      </c>
      <c r="J90" s="13" t="str">
        <f>IF(AND(Vértices!$J85="Sim",OR(Pesos!$D$4="Madrugada",Pesos!$D$4="Noite")),"Via bloqueada", "Via liberada")</f>
        <v>Via liberada</v>
      </c>
      <c r="K90" s="13">
        <f>Tabela12[[#This Row],[Distância (m)]]*((1*VLOOKUP(Vértices!$G85,Tabela7[[Classificação]:[Peso]],2,FALSE)+2*VLOOKUP(Vértices!I85,Tabela9[[Classificação]:[Peso]],2,FALSE)+3*VLOOKUP(Pesos!$C$5,Tabela11[[Classificação]:[Peso]],2,FALSE)+4*VLOOKUP(Vértices!H85,Tabela8[[Classificação]:[Peso]],2,FALSE)+5*VLOOKUP($D$3,Tabela5[[Fator Chuva]:[Peso]],2,FALSE))/15)*VLOOKUP(Vértices!G85,Tabela7[[Classificação]:[Peso]],2,FALSE)*VLOOKUP(Vértices!H85,Tabela8[[Classificação]:[Peso]],2,FALSE)*VLOOKUP(Vértices!I85,Tabela9[[Classificação]:[Peso]],2,FALSE)</f>
        <v>4814.0112682655208</v>
      </c>
      <c r="L90" s="13">
        <f>IF(OR(Tabela12[[#This Row],[Vai poder passar?]]="Não",Tabela12[[#This Row],[Via Alagada?]]="Sim",Tabela12[[#This Row],[Criminalidade]]="Via bloqueada"), "Ignorar rota", Tabela12[[#This Row],[Peso]])</f>
        <v>4814.0112682655208</v>
      </c>
    </row>
    <row r="91" spans="4:12" ht="15" x14ac:dyDescent="0.2">
      <c r="D91" s="9" t="s">
        <v>42</v>
      </c>
      <c r="E91" s="9" t="s">
        <v>13</v>
      </c>
      <c r="F91" s="9">
        <f>Vértices!C86</f>
        <v>13449.316566020203</v>
      </c>
      <c r="G91" s="17" t="str">
        <f>IF($C$2="Caminhão",Vértices!F86,"Sim")</f>
        <v>Não</v>
      </c>
      <c r="H91" s="13" t="str">
        <f>IF(OR($C$3="Sem chuva",$I91=0), "Não",IF($D$3&gt;=Tabela12[[#This Row],[Chuva]],"Sim","Não"))</f>
        <v>Não</v>
      </c>
      <c r="I91" s="13">
        <f>VLOOKUP(Vértices!E86,Tabela5[],2,)</f>
        <v>0</v>
      </c>
      <c r="J91" s="13" t="str">
        <f>IF(AND(Vértices!$J86="Sim",OR(Pesos!$D$4="Madrugada",Pesos!$D$4="Noite")),"Via bloqueada", "Via liberada")</f>
        <v>Via liberada</v>
      </c>
      <c r="K91" s="13">
        <f>Tabela12[[#This Row],[Distância (m)]]*((1*VLOOKUP(Vértices!$G86,Tabela7[[Classificação]:[Peso]],2,FALSE)+2*VLOOKUP(Vértices!I86,Tabela9[[Classificação]:[Peso]],2,FALSE)+3*VLOOKUP(Pesos!$C$5,Tabela11[[Classificação]:[Peso]],2,FALSE)+4*VLOOKUP(Vértices!H86,Tabela8[[Classificação]:[Peso]],2,FALSE)+5*VLOOKUP($D$3,Tabela5[[Fator Chuva]:[Peso]],2,FALSE))/15)*VLOOKUP(Vértices!G86,Tabela7[[Classificação]:[Peso]],2,FALSE)*VLOOKUP(Vértices!H86,Tabela8[[Classificação]:[Peso]],2,FALSE)*VLOOKUP(Vértices!I86,Tabela9[[Classificação]:[Peso]],2,FALSE)</f>
        <v>14121.782394321212</v>
      </c>
      <c r="L9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2" spans="4:12" ht="15" x14ac:dyDescent="0.2">
      <c r="D92" s="6" t="s">
        <v>42</v>
      </c>
      <c r="E92" s="6" t="s">
        <v>107</v>
      </c>
      <c r="F92" s="6">
        <f>Vértices!C87</f>
        <v>13234.102508812628</v>
      </c>
      <c r="G92" s="17" t="str">
        <f>IF($C$2="Caminhão",Vértices!F87,"Sim")</f>
        <v>Não</v>
      </c>
      <c r="H92" s="13" t="str">
        <f>IF(OR($C$3="Sem chuva",$I92=0), "Não",IF($D$3&gt;=Tabela12[[#This Row],[Chuva]],"Sim","Não"))</f>
        <v>Não</v>
      </c>
      <c r="I92" s="13">
        <f>VLOOKUP(Vértices!E87,Tabela5[],2,)</f>
        <v>0</v>
      </c>
      <c r="J92" s="13" t="str">
        <f>IF(AND(Vértices!$J87="Sim",OR(Pesos!$D$4="Madrugada",Pesos!$D$4="Noite")),"Via bloqueada", "Via liberada")</f>
        <v>Via liberada</v>
      </c>
      <c r="K92" s="13">
        <f>Tabela12[[#This Row],[Distância (m)]]*((1*VLOOKUP(Vértices!$G87,Tabela7[[Classificação]:[Peso]],2,FALSE)+2*VLOOKUP(Vértices!I87,Tabela9[[Classificação]:[Peso]],2,FALSE)+3*VLOOKUP(Pesos!$C$5,Tabela11[[Classificação]:[Peso]],2,FALSE)+4*VLOOKUP(Vértices!H87,Tabela8[[Classificação]:[Peso]],2,FALSE)+5*VLOOKUP($D$3,Tabela5[[Fator Chuva]:[Peso]],2,FALSE))/15)*VLOOKUP(Vértices!G87,Tabela7[[Classificação]:[Peso]],2,FALSE)*VLOOKUP(Vértices!H87,Tabela8[[Classificação]:[Peso]],2,FALSE)*VLOOKUP(Vértices!I87,Tabela9[[Classificação]:[Peso]],2,FALSE)</f>
        <v>77419.499676553882</v>
      </c>
      <c r="L9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3" spans="4:12" ht="15" x14ac:dyDescent="0.2">
      <c r="D93" s="9" t="s">
        <v>43</v>
      </c>
      <c r="E93" s="9" t="s">
        <v>15</v>
      </c>
      <c r="F93" s="9">
        <f>Vértices!C88</f>
        <v>17964.888917578344</v>
      </c>
      <c r="G93" s="17" t="str">
        <f>IF($C$2="Caminhão",Vértices!F88,"Sim")</f>
        <v>Sim</v>
      </c>
      <c r="H93" s="13" t="str">
        <f>IF(OR($C$3="Sem chuva",$I93=0), "Não",IF($D$3&gt;=Tabela12[[#This Row],[Chuva]],"Sim","Não"))</f>
        <v>Sim</v>
      </c>
      <c r="I93" s="13">
        <f>VLOOKUP(Vértices!E88,Tabela5[],2,)</f>
        <v>5</v>
      </c>
      <c r="J93" s="13" t="str">
        <f>IF(AND(Vértices!$J88="Sim",OR(Pesos!$D$4="Madrugada",Pesos!$D$4="Noite")),"Via bloqueada", "Via liberada")</f>
        <v>Via liberada</v>
      </c>
      <c r="K93" s="13">
        <f>Tabela12[[#This Row],[Distância (m)]]*((1*VLOOKUP(Vértices!$G88,Tabela7[[Classificação]:[Peso]],2,FALSE)+2*VLOOKUP(Vértices!I88,Tabela9[[Classificação]:[Peso]],2,FALSE)+3*VLOOKUP(Pesos!$C$5,Tabela11[[Classificação]:[Peso]],2,FALSE)+4*VLOOKUP(Vértices!H88,Tabela8[[Classificação]:[Peso]],2,FALSE)+5*VLOOKUP($D$3,Tabela5[[Fator Chuva]:[Peso]],2,FALSE))/15)*VLOOKUP(Vértices!G88,Tabela7[[Classificação]:[Peso]],2,FALSE)*VLOOKUP(Vértices!H88,Tabela8[[Classificação]:[Peso]],2,FALSE)*VLOOKUP(Vértices!I88,Tabela9[[Classificação]:[Peso]],2,FALSE)</f>
        <v>145515.60023238458</v>
      </c>
      <c r="L9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4" spans="4:12" ht="15" x14ac:dyDescent="0.2">
      <c r="D94" s="6" t="s">
        <v>43</v>
      </c>
      <c r="E94" s="6" t="s">
        <v>56</v>
      </c>
      <c r="F94" s="6">
        <f>Vértices!C89</f>
        <v>4920.0582704342578</v>
      </c>
      <c r="G94" s="17" t="str">
        <f>IF($C$2="Caminhão",Vértices!F89,"Sim")</f>
        <v>Sim</v>
      </c>
      <c r="H94" s="13" t="str">
        <f>IF(OR($C$3="Sem chuva",$I94=0), "Não",IF($D$3&gt;=Tabela12[[#This Row],[Chuva]],"Sim","Não"))</f>
        <v>Sim</v>
      </c>
      <c r="I94" s="13">
        <f>VLOOKUP(Vértices!E89,Tabela5[],2,)</f>
        <v>5</v>
      </c>
      <c r="J94" s="13" t="str">
        <f>IF(AND(Vértices!$J89="Sim",OR(Pesos!$D$4="Madrugada",Pesos!$D$4="Noite")),"Via bloqueada", "Via liberada")</f>
        <v>Via liberada</v>
      </c>
      <c r="K94" s="13">
        <f>Tabela12[[#This Row],[Distância (m)]]*((1*VLOOKUP(Vértices!$G89,Tabela7[[Classificação]:[Peso]],2,FALSE)+2*VLOOKUP(Vértices!I89,Tabela9[[Classificação]:[Peso]],2,FALSE)+3*VLOOKUP(Pesos!$C$5,Tabela11[[Classificação]:[Peso]],2,FALSE)+4*VLOOKUP(Vértices!H89,Tabela8[[Classificação]:[Peso]],2,FALSE)+5*VLOOKUP($D$3,Tabela5[[Fator Chuva]:[Peso]],2,FALSE))/15)*VLOOKUP(Vértices!G89,Tabela7[[Classificação]:[Peso]],2,FALSE)*VLOOKUP(Vértices!H89,Tabela8[[Classificação]:[Peso]],2,FALSE)*VLOOKUP(Vértices!I89,Tabela9[[Classificação]:[Peso]],2,FALSE)</f>
        <v>3362.0398181300761</v>
      </c>
      <c r="L9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5" spans="4:12" ht="15" x14ac:dyDescent="0.2">
      <c r="D95" s="9" t="s">
        <v>43</v>
      </c>
      <c r="E95" s="9" t="s">
        <v>86</v>
      </c>
      <c r="F95" s="9">
        <f>Vértices!C90</f>
        <v>47967.487820324342</v>
      </c>
      <c r="G95" s="17" t="str">
        <f>IF($C$2="Caminhão",Vértices!F90,"Sim")</f>
        <v>Sim</v>
      </c>
      <c r="H95" s="13" t="str">
        <f>IF(OR($C$3="Sem chuva",$I95=0), "Não",IF($D$3&gt;=Tabela12[[#This Row],[Chuva]],"Sim","Não"))</f>
        <v>Sim</v>
      </c>
      <c r="I95" s="13">
        <f>VLOOKUP(Vértices!E90,Tabela5[],2,)</f>
        <v>4</v>
      </c>
      <c r="J95" s="13" t="str">
        <f>IF(AND(Vértices!$J90="Sim",OR(Pesos!$D$4="Madrugada",Pesos!$D$4="Noite")),"Via bloqueada", "Via liberada")</f>
        <v>Via liberada</v>
      </c>
      <c r="K95" s="13">
        <f>Tabela12[[#This Row],[Distância (m)]]*((1*VLOOKUP(Vértices!$G90,Tabela7[[Classificação]:[Peso]],2,FALSE)+2*VLOOKUP(Vértices!I90,Tabela9[[Classificação]:[Peso]],2,FALSE)+3*VLOOKUP(Pesos!$C$5,Tabela11[[Classificação]:[Peso]],2,FALSE)+4*VLOOKUP(Vértices!H90,Tabela8[[Classificação]:[Peso]],2,FALSE)+5*VLOOKUP($D$3,Tabela5[[Fator Chuva]:[Peso]],2,FALSE))/15)*VLOOKUP(Vértices!G90,Tabela7[[Classificação]:[Peso]],2,FALSE)*VLOOKUP(Vértices!H90,Tabela8[[Classificação]:[Peso]],2,FALSE)*VLOOKUP(Vértices!I90,Tabela9[[Classificação]:[Peso]],2,FALSE)</f>
        <v>556422.85871576238</v>
      </c>
      <c r="L9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6" spans="4:12" ht="15" x14ac:dyDescent="0.2">
      <c r="D96" s="6" t="s">
        <v>44</v>
      </c>
      <c r="E96" s="6" t="s">
        <v>87</v>
      </c>
      <c r="F96" s="6">
        <f>Vértices!C91</f>
        <v>769.10034604774182</v>
      </c>
      <c r="G96" s="17" t="str">
        <f>IF($C$2="Caminhão",Vértices!F91,"Sim")</f>
        <v>Sim</v>
      </c>
      <c r="H96" s="13" t="str">
        <f>IF(OR($C$3="Sem chuva",$I96=0), "Não",IF($D$3&gt;=Tabela12[[#This Row],[Chuva]],"Sim","Não"))</f>
        <v>Sim</v>
      </c>
      <c r="I96" s="13">
        <f>VLOOKUP(Vértices!E91,Tabela5[],2,)</f>
        <v>4</v>
      </c>
      <c r="J96" s="13" t="str">
        <f>IF(AND(Vértices!$J91="Sim",OR(Pesos!$D$4="Madrugada",Pesos!$D$4="Noite")),"Via bloqueada", "Via liberada")</f>
        <v>Via liberada</v>
      </c>
      <c r="K96" s="13">
        <f>Tabela12[[#This Row],[Distância (m)]]*((1*VLOOKUP(Vértices!$G91,Tabela7[[Classificação]:[Peso]],2,FALSE)+2*VLOOKUP(Vértices!I91,Tabela9[[Classificação]:[Peso]],2,FALSE)+3*VLOOKUP(Pesos!$C$5,Tabela11[[Classificação]:[Peso]],2,FALSE)+4*VLOOKUP(Vértices!H91,Tabela8[[Classificação]:[Peso]],2,FALSE)+5*VLOOKUP($D$3,Tabela5[[Fator Chuva]:[Peso]],2,FALSE))/15)*VLOOKUP(Vértices!G91,Tabela7[[Classificação]:[Peso]],2,FALSE)*VLOOKUP(Vértices!H91,Tabela8[[Classificação]:[Peso]],2,FALSE)*VLOOKUP(Vértices!I91,Tabela9[[Classificação]:[Peso]],2,FALSE)</f>
        <v>7819.186851485375</v>
      </c>
      <c r="L9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7" spans="4:12" ht="15" x14ac:dyDescent="0.2">
      <c r="D97" s="9" t="s">
        <v>44</v>
      </c>
      <c r="E97" s="9" t="s">
        <v>85</v>
      </c>
      <c r="F97" s="9">
        <f>Vértices!C92</f>
        <v>4015.7805140463042</v>
      </c>
      <c r="G97" s="17" t="str">
        <f>IF($C$2="Caminhão",Vértices!F92,"Sim")</f>
        <v>Sim</v>
      </c>
      <c r="H97" s="13" t="str">
        <f>IF(OR($C$3="Sem chuva",$I97=0), "Não",IF($D$3&gt;=Tabela12[[#This Row],[Chuva]],"Sim","Não"))</f>
        <v>Sim</v>
      </c>
      <c r="I97" s="13">
        <f>VLOOKUP(Vértices!E92,Tabela5[],2,)</f>
        <v>4</v>
      </c>
      <c r="J97" s="13" t="str">
        <f>IF(AND(Vértices!$J92="Sim",OR(Pesos!$D$4="Madrugada",Pesos!$D$4="Noite")),"Via bloqueada", "Via liberada")</f>
        <v>Via liberada</v>
      </c>
      <c r="K97" s="13">
        <f>Tabela12[[#This Row],[Distância (m)]]*((1*VLOOKUP(Vértices!$G92,Tabela7[[Classificação]:[Peso]],2,FALSE)+2*VLOOKUP(Vértices!I92,Tabela9[[Classificação]:[Peso]],2,FALSE)+3*VLOOKUP(Pesos!$C$5,Tabela11[[Classificação]:[Peso]],2,FALSE)+4*VLOOKUP(Vértices!H92,Tabela8[[Classificação]:[Peso]],2,FALSE)+5*VLOOKUP($D$3,Tabela5[[Fator Chuva]:[Peso]],2,FALSE))/15)*VLOOKUP(Vértices!G92,Tabela7[[Classificação]:[Peso]],2,FALSE)*VLOOKUP(Vértices!H92,Tabela8[[Classificação]:[Peso]],2,FALSE)*VLOOKUP(Vértices!I92,Tabela9[[Classificação]:[Peso]],2,FALSE)</f>
        <v>40827.101892804087</v>
      </c>
      <c r="L9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8" spans="4:12" ht="15" x14ac:dyDescent="0.2">
      <c r="D98" s="6" t="s">
        <v>45</v>
      </c>
      <c r="E98" s="6" t="s">
        <v>41</v>
      </c>
      <c r="F98" s="6">
        <f>Vértices!C93</f>
        <v>1521.1977446562271</v>
      </c>
      <c r="G98" s="17" t="str">
        <f>IF($C$2="Caminhão",Vértices!F93,"Sim")</f>
        <v>Não</v>
      </c>
      <c r="H98" s="13" t="str">
        <f>IF(OR($C$3="Sem chuva",$I98=0), "Não",IF($D$3&gt;=Tabela12[[#This Row],[Chuva]],"Sim","Não"))</f>
        <v>Não</v>
      </c>
      <c r="I98" s="13">
        <f>VLOOKUP(Vértices!E93,Tabela5[],2,)</f>
        <v>0</v>
      </c>
      <c r="J98" s="13" t="str">
        <f>IF(AND(Vértices!$J93="Sim",OR(Pesos!$D$4="Madrugada",Pesos!$D$4="Noite")),"Via bloqueada", "Via liberada")</f>
        <v>Via liberada</v>
      </c>
      <c r="K98" s="13">
        <f>Tabela12[[#This Row],[Distância (m)]]*((1*VLOOKUP(Vértices!$G93,Tabela7[[Classificação]:[Peso]],2,FALSE)+2*VLOOKUP(Vértices!I93,Tabela9[[Classificação]:[Peso]],2,FALSE)+3*VLOOKUP(Pesos!$C$5,Tabela11[[Classificação]:[Peso]],2,FALSE)+4*VLOOKUP(Vértices!H93,Tabela8[[Classificação]:[Peso]],2,FALSE)+5*VLOOKUP($D$3,Tabela5[[Fator Chuva]:[Peso]],2,FALSE))/15)*VLOOKUP(Vértices!G93,Tabela7[[Classificação]:[Peso]],2,FALSE)*VLOOKUP(Vértices!H93,Tabela8[[Classificação]:[Peso]],2,FALSE)*VLOOKUP(Vértices!I93,Tabela9[[Classificação]:[Peso]],2,FALSE)</f>
        <v>1597.2576318890383</v>
      </c>
      <c r="L9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99" spans="4:12" ht="15" x14ac:dyDescent="0.2">
      <c r="D99" s="6" t="s">
        <v>45</v>
      </c>
      <c r="E99" s="10" t="s">
        <v>66</v>
      </c>
      <c r="F99" s="9">
        <f>Vértices!C94</f>
        <v>6322.8142765179955</v>
      </c>
      <c r="G99" s="17" t="str">
        <f>IF($C$2="Caminhão",Vértices!F94,"Sim")</f>
        <v>Sim</v>
      </c>
      <c r="H99" s="13" t="str">
        <f>IF(OR($C$3="Sem chuva",$I99=0), "Não",IF($D$3&gt;=Tabela12[[#This Row],[Chuva]],"Sim","Não"))</f>
        <v>Sim</v>
      </c>
      <c r="I99" s="13">
        <f>VLOOKUP(Vértices!E94,Tabela5[],2,)</f>
        <v>5</v>
      </c>
      <c r="J99" s="13" t="str">
        <f>IF(AND(Vértices!$J94="Sim",OR(Pesos!$D$4="Madrugada",Pesos!$D$4="Noite")),"Via bloqueada", "Via liberada")</f>
        <v>Via liberada</v>
      </c>
      <c r="K99" s="13">
        <f>Tabela12[[#This Row],[Distância (m)]]*((1*VLOOKUP(Vértices!$G94,Tabela7[[Classificação]:[Peso]],2,FALSE)+2*VLOOKUP(Vértices!I94,Tabela9[[Classificação]:[Peso]],2,FALSE)+3*VLOOKUP(Pesos!$C$5,Tabela11[[Classificação]:[Peso]],2,FALSE)+4*VLOOKUP(Vértices!H94,Tabela8[[Classificação]:[Peso]],2,FALSE)+5*VLOOKUP($D$3,Tabela5[[Fator Chuva]:[Peso]],2,FALSE))/15)*VLOOKUP(Vértices!G94,Tabela7[[Classificação]:[Peso]],2,FALSE)*VLOOKUP(Vértices!H94,Tabela8[[Classificação]:[Peso]],2,FALSE)*VLOOKUP(Vértices!I94,Tabela9[[Classificação]:[Peso]],2,FALSE)</f>
        <v>64281.945144599609</v>
      </c>
      <c r="L9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0" spans="4:12" ht="15" x14ac:dyDescent="0.2">
      <c r="D100" s="6" t="s">
        <v>46</v>
      </c>
      <c r="E100" s="6" t="s">
        <v>29</v>
      </c>
      <c r="F100" s="6">
        <f>Vértices!C95</f>
        <v>3434.8229413147969</v>
      </c>
      <c r="G100" s="17" t="str">
        <f>IF($C$2="Caminhão",Vértices!F95,"Sim")</f>
        <v>Sim</v>
      </c>
      <c r="H100" s="13" t="str">
        <f>IF(OR($C$3="Sem chuva",$I100=0), "Não",IF($D$3&gt;=Tabela12[[#This Row],[Chuva]],"Sim","Não"))</f>
        <v>Não</v>
      </c>
      <c r="I100" s="13">
        <f>VLOOKUP(Vértices!E95,Tabela5[],2,)</f>
        <v>6</v>
      </c>
      <c r="J100" s="13" t="str">
        <f>IF(AND(Vértices!$J95="Sim",OR(Pesos!$D$4="Madrugada",Pesos!$D$4="Noite")),"Via bloqueada", "Via liberada")</f>
        <v>Via liberada</v>
      </c>
      <c r="K100" s="13">
        <f>Tabela12[[#This Row],[Distância (m)]]*((1*VLOOKUP(Vértices!$G95,Tabela7[[Classificação]:[Peso]],2,FALSE)+2*VLOOKUP(Vértices!I95,Tabela9[[Classificação]:[Peso]],2,FALSE)+3*VLOOKUP(Pesos!$C$5,Tabela11[[Classificação]:[Peso]],2,FALSE)+4*VLOOKUP(Vértices!H95,Tabela8[[Classificação]:[Peso]],2,FALSE)+5*VLOOKUP($D$3,Tabela5[[Fator Chuva]:[Peso]],2,FALSE))/15)*VLOOKUP(Vértices!G95,Tabela7[[Classificação]:[Peso]],2,FALSE)*VLOOKUP(Vértices!H95,Tabela8[[Classificação]:[Peso]],2,FALSE)*VLOOKUP(Vértices!I95,Tabela9[[Classificação]:[Peso]],2,FALSE)</f>
        <v>34920.699903367102</v>
      </c>
      <c r="L100" s="13">
        <f>IF(OR(Tabela12[[#This Row],[Vai poder passar?]]="Não",Tabela12[[#This Row],[Via Alagada?]]="Sim",Tabela12[[#This Row],[Criminalidade]]="Via bloqueada"), "Ignorar rota", Tabela12[[#This Row],[Peso]])</f>
        <v>34920.699903367102</v>
      </c>
    </row>
    <row r="101" spans="4:12" ht="15" x14ac:dyDescent="0.2">
      <c r="D101" s="9" t="s">
        <v>46</v>
      </c>
      <c r="E101" s="9" t="s">
        <v>93</v>
      </c>
      <c r="F101" s="9">
        <f>Vértices!C96</f>
        <v>598.19830434235348</v>
      </c>
      <c r="G101" s="17" t="str">
        <f>IF($C$2="Caminhão",Vértices!F96,"Sim")</f>
        <v>Sim</v>
      </c>
      <c r="H101" s="13" t="str">
        <f>IF(OR($C$3="Sem chuva",$I101=0), "Não",IF($D$3&gt;=Tabela12[[#This Row],[Chuva]],"Sim","Não"))</f>
        <v>Não</v>
      </c>
      <c r="I101" s="13">
        <f>VLOOKUP(Vértices!E96,Tabela5[],2,)</f>
        <v>6</v>
      </c>
      <c r="J101" s="13" t="str">
        <f>IF(AND(Vértices!$J96="Sim",OR(Pesos!$D$4="Madrugada",Pesos!$D$4="Noite")),"Via bloqueada", "Via liberada")</f>
        <v>Via liberada</v>
      </c>
      <c r="K101" s="13">
        <f>Tabela12[[#This Row],[Distância (m)]]*((1*VLOOKUP(Vértices!$G96,Tabela7[[Classificação]:[Peso]],2,FALSE)+2*VLOOKUP(Vértices!I96,Tabela9[[Classificação]:[Peso]],2,FALSE)+3*VLOOKUP(Pesos!$C$5,Tabela11[[Classificação]:[Peso]],2,FALSE)+4*VLOOKUP(Vértices!H96,Tabela8[[Classificação]:[Peso]],2,FALSE)+5*VLOOKUP($D$3,Tabela5[[Fator Chuva]:[Peso]],2,FALSE))/15)*VLOOKUP(Vértices!G96,Tabela7[[Classificação]:[Peso]],2,FALSE)*VLOOKUP(Vértices!H96,Tabela8[[Classificação]:[Peso]],2,FALSE)*VLOOKUP(Vértices!I96,Tabela9[[Classificação]:[Peso]],2,FALSE)</f>
        <v>4546.3071130018861</v>
      </c>
      <c r="L101" s="13">
        <f>IF(OR(Tabela12[[#This Row],[Vai poder passar?]]="Não",Tabela12[[#This Row],[Via Alagada?]]="Sim",Tabela12[[#This Row],[Criminalidade]]="Via bloqueada"), "Ignorar rota", Tabela12[[#This Row],[Peso]])</f>
        <v>4546.3071130018861</v>
      </c>
    </row>
    <row r="102" spans="4:12" ht="15" x14ac:dyDescent="0.2">
      <c r="D102" s="6" t="s">
        <v>47</v>
      </c>
      <c r="E102" s="6" t="s">
        <v>107</v>
      </c>
      <c r="F102" s="6">
        <f>Vértices!C97</f>
        <v>3230.169994050369</v>
      </c>
      <c r="G102" s="17" t="str">
        <f>IF($C$2="Caminhão",Vértices!F97,"Sim")</f>
        <v>Sim</v>
      </c>
      <c r="H102" s="13" t="str">
        <f>IF(OR($C$3="Sem chuva",$I102=0), "Não",IF($D$3&gt;=Tabela12[[#This Row],[Chuva]],"Sim","Não"))</f>
        <v>Sim</v>
      </c>
      <c r="I102" s="13">
        <f>VLOOKUP(Vértices!E97,Tabela5[],2,)</f>
        <v>3</v>
      </c>
      <c r="J102" s="13" t="str">
        <f>IF(AND(Vértices!$J97="Sim",OR(Pesos!$D$4="Madrugada",Pesos!$D$4="Noite")),"Via bloqueada", "Via liberada")</f>
        <v>Via liberada</v>
      </c>
      <c r="K102" s="13">
        <f>Tabela12[[#This Row],[Distância (m)]]*((1*VLOOKUP(Vértices!$G97,Tabela7[[Classificação]:[Peso]],2,FALSE)+2*VLOOKUP(Vértices!I97,Tabela9[[Classificação]:[Peso]],2,FALSE)+3*VLOOKUP(Pesos!$C$5,Tabela11[[Classificação]:[Peso]],2,FALSE)+4*VLOOKUP(Vértices!H97,Tabela8[[Classificação]:[Peso]],2,FALSE)+5*VLOOKUP($D$3,Tabela5[[Fator Chuva]:[Peso]],2,FALSE))/15)*VLOOKUP(Vértices!G97,Tabela7[[Classificação]:[Peso]],2,FALSE)*VLOOKUP(Vértices!H97,Tabela8[[Classificação]:[Peso]],2,FALSE)*VLOOKUP(Vértices!I97,Tabela9[[Classificação]:[Peso]],2,FALSE)</f>
        <v>50067.634907780724</v>
      </c>
      <c r="L10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3" spans="4:12" ht="15" x14ac:dyDescent="0.2">
      <c r="D103" s="9" t="s">
        <v>47</v>
      </c>
      <c r="E103" s="9" t="s">
        <v>10</v>
      </c>
      <c r="F103" s="9">
        <f>Vértices!C98</f>
        <v>17619.429947195829</v>
      </c>
      <c r="G103" s="17" t="str">
        <f>IF($C$2="Caminhão",Vértices!F98,"Sim")</f>
        <v>Não</v>
      </c>
      <c r="H103" s="13" t="str">
        <f>IF(OR($C$3="Sem chuva",$I103=0), "Não",IF($D$3&gt;=Tabela12[[#This Row],[Chuva]],"Sim","Não"))</f>
        <v>Não</v>
      </c>
      <c r="I103" s="13">
        <f>VLOOKUP(Vértices!E98,Tabela5[],2,)</f>
        <v>0</v>
      </c>
      <c r="J103" s="13" t="str">
        <f>IF(AND(Vértices!$J98="Sim",OR(Pesos!$D$4="Madrugada",Pesos!$D$4="Noite")),"Via bloqueada", "Via liberada")</f>
        <v>Via liberada</v>
      </c>
      <c r="K103" s="13">
        <f>Tabela12[[#This Row],[Distância (m)]]*((1*VLOOKUP(Vértices!$G98,Tabela7[[Classificação]:[Peso]],2,FALSE)+2*VLOOKUP(Vértices!I98,Tabela9[[Classificação]:[Peso]],2,FALSE)+3*VLOOKUP(Pesos!$C$5,Tabela11[[Classificação]:[Peso]],2,FALSE)+4*VLOOKUP(Vértices!H98,Tabela8[[Classificação]:[Peso]],2,FALSE)+5*VLOOKUP($D$3,Tabela5[[Fator Chuva]:[Peso]],2,FALSE))/15)*VLOOKUP(Vértices!G98,Tabela7[[Classificação]:[Peso]],2,FALSE)*VLOOKUP(Vértices!H98,Tabela8[[Classificação]:[Peso]],2,FALSE)*VLOOKUP(Vértices!I98,Tabela9[[Classificação]:[Peso]],2,FALSE)</f>
        <v>18500.401444555617</v>
      </c>
      <c r="L10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4" spans="4:12" ht="15" x14ac:dyDescent="0.2">
      <c r="D104" s="6" t="s">
        <v>47</v>
      </c>
      <c r="E104" s="6" t="s">
        <v>49</v>
      </c>
      <c r="F104" s="6">
        <f>Vértices!C99</f>
        <v>20182.778842936452</v>
      </c>
      <c r="G104" s="17" t="str">
        <f>IF($C$2="Caminhão",Vértices!F99,"Sim")</f>
        <v>Sim</v>
      </c>
      <c r="H104" s="13" t="str">
        <f>IF(OR($C$3="Sem chuva",$I104=0), "Não",IF($D$3&gt;=Tabela12[[#This Row],[Chuva]],"Sim","Não"))</f>
        <v>Sim</v>
      </c>
      <c r="I104" s="13">
        <f>VLOOKUP(Vértices!E99,Tabela5[],2,)</f>
        <v>3</v>
      </c>
      <c r="J104" s="13" t="str">
        <f>IF(AND(Vértices!$J99="Sim",OR(Pesos!$D$4="Madrugada",Pesos!$D$4="Noite")),"Via bloqueada", "Via liberada")</f>
        <v>Via liberada</v>
      </c>
      <c r="K104" s="13">
        <f>Tabela12[[#This Row],[Distância (m)]]*((1*VLOOKUP(Vértices!$G99,Tabela7[[Classificação]:[Peso]],2,FALSE)+2*VLOOKUP(Vértices!I99,Tabela9[[Classificação]:[Peso]],2,FALSE)+3*VLOOKUP(Pesos!$C$5,Tabela11[[Classificação]:[Peso]],2,FALSE)+4*VLOOKUP(Vértices!H99,Tabela8[[Classificação]:[Peso]],2,FALSE)+5*VLOOKUP($D$3,Tabela5[[Fator Chuva]:[Peso]],2,FALSE))/15)*VLOOKUP(Vértices!G99,Tabela7[[Classificação]:[Peso]],2,FALSE)*VLOOKUP(Vértices!H99,Tabela8[[Classificação]:[Peso]],2,FALSE)*VLOOKUP(Vértices!I99,Tabela9[[Classificação]:[Peso]],2,FALSE)</f>
        <v>312833.07206551498</v>
      </c>
      <c r="L10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5" spans="4:12" ht="15" x14ac:dyDescent="0.2">
      <c r="D105" s="9" t="s">
        <v>48</v>
      </c>
      <c r="E105" s="9" t="s">
        <v>52</v>
      </c>
      <c r="F105" s="9">
        <f>Vértices!C100</f>
        <v>12919.052442795104</v>
      </c>
      <c r="G105" s="17" t="str">
        <f>IF($C$2="Caminhão",Vértices!F100,"Sim")</f>
        <v>Sim</v>
      </c>
      <c r="H105" s="13" t="str">
        <f>IF(OR($C$3="Sem chuva",$I105=0), "Não",IF($D$3&gt;=Tabela12[[#This Row],[Chuva]],"Sim","Não"))</f>
        <v>Sim</v>
      </c>
      <c r="I105" s="13">
        <f>VLOOKUP(Vértices!E100,Tabela5[],2,)</f>
        <v>5</v>
      </c>
      <c r="J105" s="13" t="str">
        <f>IF(AND(Vértices!$J100="Sim",OR(Pesos!$D$4="Madrugada",Pesos!$D$4="Noite")),"Via bloqueada", "Via liberada")</f>
        <v>Via liberada</v>
      </c>
      <c r="K105" s="13">
        <f>Tabela12[[#This Row],[Distância (m)]]*((1*VLOOKUP(Vértices!$G100,Tabela7[[Classificação]:[Peso]],2,FALSE)+2*VLOOKUP(Vértices!I100,Tabela9[[Classificação]:[Peso]],2,FALSE)+3*VLOOKUP(Pesos!$C$5,Tabela11[[Classificação]:[Peso]],2,FALSE)+4*VLOOKUP(Vértices!H100,Tabela8[[Classificação]:[Peso]],2,FALSE)+5*VLOOKUP($D$3,Tabela5[[Fator Chuva]:[Peso]],2,FALSE))/15)*VLOOKUP(Vértices!G100,Tabela7[[Classificação]:[Peso]],2,FALSE)*VLOOKUP(Vértices!H100,Tabela8[[Classificação]:[Peso]],2,FALSE)*VLOOKUP(Vértices!I100,Tabela9[[Classificação]:[Peso]],2,FALSE)</f>
        <v>131343.69983508356</v>
      </c>
      <c r="L10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6" spans="4:12" ht="15" x14ac:dyDescent="0.2">
      <c r="D106" s="6" t="s">
        <v>49</v>
      </c>
      <c r="E106" s="6" t="s">
        <v>59</v>
      </c>
      <c r="F106" s="6">
        <f>Vértices!C101</f>
        <v>2137.4270589280422</v>
      </c>
      <c r="G106" s="17" t="str">
        <f>IF($C$2="Caminhão",Vértices!F101,"Sim")</f>
        <v>Sim</v>
      </c>
      <c r="H106" s="13" t="str">
        <f>IF(OR($C$3="Sem chuva",$I106=0), "Não",IF($D$3&gt;=Tabela12[[#This Row],[Chuva]],"Sim","Não"))</f>
        <v>Não</v>
      </c>
      <c r="I106" s="13">
        <f>VLOOKUP(Vértices!E101,Tabela5[],2,)</f>
        <v>6</v>
      </c>
      <c r="J106" s="13" t="str">
        <f>IF(AND(Vértices!$J101="Sim",OR(Pesos!$D$4="Madrugada",Pesos!$D$4="Noite")),"Via bloqueada", "Via liberada")</f>
        <v>Via liberada</v>
      </c>
      <c r="K106" s="13">
        <f>Tabela12[[#This Row],[Distância (m)]]*((1*VLOOKUP(Vértices!$G101,Tabela7[[Classificação]:[Peso]],2,FALSE)+2*VLOOKUP(Vértices!I101,Tabela9[[Classificação]:[Peso]],2,FALSE)+3*VLOOKUP(Pesos!$C$5,Tabela11[[Classificação]:[Peso]],2,FALSE)+4*VLOOKUP(Vértices!H101,Tabela8[[Classificação]:[Peso]],2,FALSE)+5*VLOOKUP($D$3,Tabela5[[Fator Chuva]:[Peso]],2,FALSE))/15)*VLOOKUP(Vértices!G101,Tabela7[[Classificação]:[Peso]],2,FALSE)*VLOOKUP(Vértices!H101,Tabela8[[Classificação]:[Peso]],2,FALSE)*VLOOKUP(Vértices!I101,Tabela9[[Classificação]:[Peso]],2,FALSE)</f>
        <v>33130.119413384658</v>
      </c>
      <c r="L106" s="13">
        <f>IF(OR(Tabela12[[#This Row],[Vai poder passar?]]="Não",Tabela12[[#This Row],[Via Alagada?]]="Sim",Tabela12[[#This Row],[Criminalidade]]="Via bloqueada"), "Ignorar rota", Tabela12[[#This Row],[Peso]])</f>
        <v>33130.119413384658</v>
      </c>
    </row>
    <row r="107" spans="4:12" ht="15" x14ac:dyDescent="0.2">
      <c r="D107" s="9" t="s">
        <v>49</v>
      </c>
      <c r="E107" s="9" t="s">
        <v>47</v>
      </c>
      <c r="F107" s="9">
        <f>Vértices!C102</f>
        <v>20182.778842936452</v>
      </c>
      <c r="G107" s="17" t="str">
        <f>IF($C$2="Caminhão",Vértices!F102,"Sim")</f>
        <v>Sim</v>
      </c>
      <c r="H107" s="13" t="str">
        <f>IF(OR($C$3="Sem chuva",$I107=0), "Não",IF($D$3&gt;=Tabela12[[#This Row],[Chuva]],"Sim","Não"))</f>
        <v>Sim</v>
      </c>
      <c r="I107" s="13">
        <f>VLOOKUP(Vértices!E102,Tabela5[],2,)</f>
        <v>3</v>
      </c>
      <c r="J107" s="13" t="str">
        <f>IF(AND(Vértices!$J102="Sim",OR(Pesos!$D$4="Madrugada",Pesos!$D$4="Noite")),"Via bloqueada", "Via liberada")</f>
        <v>Via liberada</v>
      </c>
      <c r="K107" s="13">
        <f>Tabela12[[#This Row],[Distância (m)]]*((1*VLOOKUP(Vértices!$G102,Tabela7[[Classificação]:[Peso]],2,FALSE)+2*VLOOKUP(Vértices!I102,Tabela9[[Classificação]:[Peso]],2,FALSE)+3*VLOOKUP(Pesos!$C$5,Tabela11[[Classificação]:[Peso]],2,FALSE)+4*VLOOKUP(Vértices!H102,Tabela8[[Classificação]:[Peso]],2,FALSE)+5*VLOOKUP($D$3,Tabela5[[Fator Chuva]:[Peso]],2,FALSE))/15)*VLOOKUP(Vértices!G102,Tabela7[[Classificação]:[Peso]],2,FALSE)*VLOOKUP(Vértices!H102,Tabela8[[Classificação]:[Peso]],2,FALSE)*VLOOKUP(Vértices!I102,Tabela9[[Classificação]:[Peso]],2,FALSE)</f>
        <v>312833.07206551498</v>
      </c>
      <c r="L10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08" spans="4:12" ht="15" x14ac:dyDescent="0.2">
      <c r="D108" s="6" t="s">
        <v>50</v>
      </c>
      <c r="E108" s="6" t="s">
        <v>70</v>
      </c>
      <c r="F108" s="6">
        <f>Vértices!C103</f>
        <v>4033.274639578467</v>
      </c>
      <c r="G108" s="17" t="str">
        <f>IF($C$2="Caminhão",Vértices!F103,"Sim")</f>
        <v>Sim</v>
      </c>
      <c r="H108" s="13" t="str">
        <f>IF(OR($C$3="Sem chuva",$I108=0), "Não",IF($D$3&gt;=Tabela12[[#This Row],[Chuva]],"Sim","Não"))</f>
        <v>Não</v>
      </c>
      <c r="I108" s="13">
        <f>VLOOKUP(Vértices!E103,Tabela5[],2,)</f>
        <v>0</v>
      </c>
      <c r="J108" s="13" t="str">
        <f>IF(AND(Vértices!$J103="Sim",OR(Pesos!$D$4="Madrugada",Pesos!$D$4="Noite")),"Via bloqueada", "Via liberada")</f>
        <v>Via liberada</v>
      </c>
      <c r="K108" s="13">
        <f>Tabela12[[#This Row],[Distância (m)]]*((1*VLOOKUP(Vértices!$G103,Tabela7[[Classificação]:[Peso]],2,FALSE)+2*VLOOKUP(Vértices!I103,Tabela9[[Classificação]:[Peso]],2,FALSE)+3*VLOOKUP(Pesos!$C$5,Tabela11[[Classificação]:[Peso]],2,FALSE)+4*VLOOKUP(Vértices!H103,Tabela8[[Classificação]:[Peso]],2,FALSE)+5*VLOOKUP($D$3,Tabela5[[Fator Chuva]:[Peso]],2,FALSE))/15)*VLOOKUP(Vértices!G103,Tabela7[[Classificação]:[Peso]],2,FALSE)*VLOOKUP(Vértices!H103,Tabela8[[Classificação]:[Peso]],2,FALSE)*VLOOKUP(Vértices!I103,Tabela9[[Classificação]:[Peso]],2,FALSE)</f>
        <v>62515.756913466241</v>
      </c>
      <c r="L108" s="13">
        <f>IF(OR(Tabela12[[#This Row],[Vai poder passar?]]="Não",Tabela12[[#This Row],[Via Alagada?]]="Sim",Tabela12[[#This Row],[Criminalidade]]="Via bloqueada"), "Ignorar rota", Tabela12[[#This Row],[Peso]])</f>
        <v>62515.756913466241</v>
      </c>
    </row>
    <row r="109" spans="4:12" ht="15" x14ac:dyDescent="0.2">
      <c r="D109" s="9" t="s">
        <v>50</v>
      </c>
      <c r="E109" s="9" t="s">
        <v>64</v>
      </c>
      <c r="F109" s="9">
        <f>Vértices!C104</f>
        <v>4545.5404806223751</v>
      </c>
      <c r="G109" s="17" t="str">
        <f>IF($C$2="Caminhão",Vértices!F104,"Sim")</f>
        <v>Sim</v>
      </c>
      <c r="H109" s="13" t="str">
        <f>IF(OR($C$3="Sem chuva",$I109=0), "Não",IF($D$3&gt;=Tabela12[[#This Row],[Chuva]],"Sim","Não"))</f>
        <v>Não</v>
      </c>
      <c r="I109" s="13">
        <f>VLOOKUP(Vértices!E104,Tabela5[],2,)</f>
        <v>0</v>
      </c>
      <c r="J109" s="13" t="str">
        <f>IF(AND(Vértices!$J104="Sim",OR(Pesos!$D$4="Madrugada",Pesos!$D$4="Noite")),"Via bloqueada", "Via liberada")</f>
        <v>Via liberada</v>
      </c>
      <c r="K109" s="13">
        <f>Tabela12[[#This Row],[Distância (m)]]*((1*VLOOKUP(Vértices!$G104,Tabela7[[Classificação]:[Peso]],2,FALSE)+2*VLOOKUP(Vértices!I104,Tabela9[[Classificação]:[Peso]],2,FALSE)+3*VLOOKUP(Pesos!$C$5,Tabela11[[Classificação]:[Peso]],2,FALSE)+4*VLOOKUP(Vértices!H104,Tabela8[[Classificação]:[Peso]],2,FALSE)+5*VLOOKUP($D$3,Tabela5[[Fator Chuva]:[Peso]],2,FALSE))/15)*VLOOKUP(Vértices!G104,Tabela7[[Classificação]:[Peso]],2,FALSE)*VLOOKUP(Vértices!H104,Tabela8[[Classificação]:[Peso]],2,FALSE)*VLOOKUP(Vértices!I104,Tabela9[[Classificação]:[Peso]],2,FALSE)</f>
        <v>70455.877449646825</v>
      </c>
      <c r="L109" s="13">
        <f>IF(OR(Tabela12[[#This Row],[Vai poder passar?]]="Não",Tabela12[[#This Row],[Via Alagada?]]="Sim",Tabela12[[#This Row],[Criminalidade]]="Via bloqueada"), "Ignorar rota", Tabela12[[#This Row],[Peso]])</f>
        <v>70455.877449646825</v>
      </c>
    </row>
    <row r="110" spans="4:12" ht="15" x14ac:dyDescent="0.2">
      <c r="D110" s="6" t="s">
        <v>51</v>
      </c>
      <c r="E110" s="6" t="s">
        <v>7</v>
      </c>
      <c r="F110" s="6">
        <f>Vértices!C105</f>
        <v>4717.3697364105383</v>
      </c>
      <c r="G110" s="17" t="str">
        <f>IF($C$2="Caminhão",Vértices!F105,"Sim")</f>
        <v>Sim</v>
      </c>
      <c r="H110" s="13" t="str">
        <f>IF(OR($C$3="Sem chuva",$I110=0), "Não",IF($D$3&gt;=Tabela12[[#This Row],[Chuva]],"Sim","Não"))</f>
        <v>Sim</v>
      </c>
      <c r="I110" s="13">
        <f>VLOOKUP(Vértices!E105,Tabela5[],2,)</f>
        <v>5</v>
      </c>
      <c r="J110" s="13" t="str">
        <f>IF(AND(Vértices!$J105="Sim",OR(Pesos!$D$4="Madrugada",Pesos!$D$4="Noite")),"Via bloqueada", "Via liberada")</f>
        <v>Via liberada</v>
      </c>
      <c r="K110" s="13">
        <f>Tabela12[[#This Row],[Distância (m)]]*((1*VLOOKUP(Vértices!$G105,Tabela7[[Classificação]:[Peso]],2,FALSE)+2*VLOOKUP(Vértices!I105,Tabela9[[Classificação]:[Peso]],2,FALSE)+3*VLOOKUP(Pesos!$C$5,Tabela11[[Classificação]:[Peso]],2,FALSE)+4*VLOOKUP(Vértices!H105,Tabela8[[Classificação]:[Peso]],2,FALSE)+5*VLOOKUP($D$3,Tabela5[[Fator Chuva]:[Peso]],2,FALSE))/15)*VLOOKUP(Vértices!G105,Tabela7[[Classificação]:[Peso]],2,FALSE)*VLOOKUP(Vértices!H105,Tabela8[[Classificação]:[Peso]],2,FALSE)*VLOOKUP(Vértices!I105,Tabela9[[Classificação]:[Peso]],2,FALSE)</f>
        <v>35852.009996720088</v>
      </c>
      <c r="L11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1" spans="4:12" ht="15" x14ac:dyDescent="0.2">
      <c r="D111" s="9" t="s">
        <v>51</v>
      </c>
      <c r="E111" s="9" t="s">
        <v>62</v>
      </c>
      <c r="F111" s="9">
        <f>Vértices!C106</f>
        <v>1537.9801159539641</v>
      </c>
      <c r="G111" s="17" t="str">
        <f>IF($C$2="Caminhão",Vértices!F106,"Sim")</f>
        <v>Não</v>
      </c>
      <c r="H111" s="13" t="str">
        <f>IF(OR($C$3="Sem chuva",$I111=0), "Não",IF($D$3&gt;=Tabela12[[#This Row],[Chuva]],"Sim","Não"))</f>
        <v>Sim</v>
      </c>
      <c r="I111" s="13">
        <f>VLOOKUP(Vértices!E106,Tabela5[],2,)</f>
        <v>5</v>
      </c>
      <c r="J111" s="13" t="str">
        <f>IF(AND(Vértices!$J106="Sim",OR(Pesos!$D$4="Madrugada",Pesos!$D$4="Noite")),"Via bloqueada", "Via liberada")</f>
        <v>Via liberada</v>
      </c>
      <c r="K111" s="13">
        <f>Tabela12[[#This Row],[Distância (m)]]*((1*VLOOKUP(Vértices!$G106,Tabela7[[Classificação]:[Peso]],2,FALSE)+2*VLOOKUP(Vértices!I106,Tabela9[[Classificação]:[Peso]],2,FALSE)+3*VLOOKUP(Pesos!$C$5,Tabela11[[Classificação]:[Peso]],2,FALSE)+4*VLOOKUP(Vértices!H106,Tabela8[[Classificação]:[Peso]],2,FALSE)+5*VLOOKUP($D$3,Tabela5[[Fator Chuva]:[Peso]],2,FALSE))/15)*VLOOKUP(Vértices!G106,Tabela7[[Classificação]:[Peso]],2,FALSE)*VLOOKUP(Vértices!H106,Tabela8[[Classificação]:[Peso]],2,FALSE)*VLOOKUP(Vértices!I106,Tabela9[[Classificação]:[Peso]],2,FALSE)</f>
        <v>8997.1836783306899</v>
      </c>
      <c r="L11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2" spans="4:12" ht="15" x14ac:dyDescent="0.2">
      <c r="D112" s="6" t="s">
        <v>52</v>
      </c>
      <c r="E112" s="6" t="s">
        <v>36</v>
      </c>
      <c r="F112" s="6">
        <f>Vértices!C107</f>
        <v>2614.5695739298244</v>
      </c>
      <c r="G112" s="17" t="str">
        <f>IF($C$2="Caminhão",Vértices!F107,"Sim")</f>
        <v>Sim</v>
      </c>
      <c r="H112" s="13" t="str">
        <f>IF(OR($C$3="Sem chuva",$I112=0), "Não",IF($D$3&gt;=Tabela12[[#This Row],[Chuva]],"Sim","Não"))</f>
        <v>Sim</v>
      </c>
      <c r="I112" s="13">
        <f>VLOOKUP(Vértices!E107,Tabela5[],2,)</f>
        <v>5</v>
      </c>
      <c r="J112" s="13" t="str">
        <f>IF(AND(Vértices!$J107="Sim",OR(Pesos!$D$4="Madrugada",Pesos!$D$4="Noite")),"Via bloqueada", "Via liberada")</f>
        <v>Via liberada</v>
      </c>
      <c r="K112" s="13">
        <f>Tabela12[[#This Row],[Distância (m)]]*((1*VLOOKUP(Vértices!$G107,Tabela7[[Classificação]:[Peso]],2,FALSE)+2*VLOOKUP(Vértices!I107,Tabela9[[Classificação]:[Peso]],2,FALSE)+3*VLOOKUP(Pesos!$C$5,Tabela11[[Classificação]:[Peso]],2,FALSE)+4*VLOOKUP(Vértices!H107,Tabela8[[Classificação]:[Peso]],2,FALSE)+5*VLOOKUP($D$3,Tabela5[[Fator Chuva]:[Peso]],2,FALSE))/15)*VLOOKUP(Vértices!G107,Tabela7[[Classificação]:[Peso]],2,FALSE)*VLOOKUP(Vértices!H107,Tabela8[[Classificação]:[Peso]],2,FALSE)*VLOOKUP(Vértices!I107,Tabela9[[Classificação]:[Peso]],2,FALSE)</f>
        <v>26581.457334953211</v>
      </c>
      <c r="L11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3" spans="4:12" ht="15" x14ac:dyDescent="0.2">
      <c r="D113" s="9" t="s">
        <v>53</v>
      </c>
      <c r="E113" s="9" t="s">
        <v>85</v>
      </c>
      <c r="F113" s="9">
        <f>Vértices!C108</f>
        <v>1572.2591976825061</v>
      </c>
      <c r="G113" s="17" t="str">
        <f>IF($C$2="Caminhão",Vértices!F108,"Sim")</f>
        <v>Sim</v>
      </c>
      <c r="H113" s="13" t="str">
        <f>IF(OR($C$3="Sem chuva",$I113=0), "Não",IF($D$3&gt;=Tabela12[[#This Row],[Chuva]],"Sim","Não"))</f>
        <v>Sim</v>
      </c>
      <c r="I113" s="13">
        <f>VLOOKUP(Vértices!E108,Tabela5[],2,)</f>
        <v>5</v>
      </c>
      <c r="J113" s="13" t="str">
        <f>IF(AND(Vértices!$J108="Sim",OR(Pesos!$D$4="Madrugada",Pesos!$D$4="Noite")),"Via bloqueada", "Via liberada")</f>
        <v>Via liberada</v>
      </c>
      <c r="K113" s="13">
        <f>Tabela12[[#This Row],[Distância (m)]]*((1*VLOOKUP(Vértices!$G108,Tabela7[[Classificação]:[Peso]],2,FALSE)+2*VLOOKUP(Vértices!I108,Tabela9[[Classificação]:[Peso]],2,FALSE)+3*VLOOKUP(Pesos!$C$5,Tabela11[[Classificação]:[Peso]],2,FALSE)+4*VLOOKUP(Vértices!H108,Tabela8[[Classificação]:[Peso]],2,FALSE)+5*VLOOKUP($D$3,Tabela5[[Fator Chuva]:[Peso]],2,FALSE))/15)*VLOOKUP(Vértices!G108,Tabela7[[Classificação]:[Peso]],2,FALSE)*VLOOKUP(Vértices!H108,Tabela8[[Classificação]:[Peso]],2,FALSE)*VLOOKUP(Vértices!I108,Tabela9[[Classificação]:[Peso]],2,FALSE)</f>
        <v>9197.7163064426604</v>
      </c>
      <c r="L11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4" spans="4:12" ht="15" x14ac:dyDescent="0.2">
      <c r="D114" s="6" t="s">
        <v>53</v>
      </c>
      <c r="E114" s="6" t="s">
        <v>87</v>
      </c>
      <c r="F114" s="6">
        <f>Vértices!C109</f>
        <v>3212.655133401357</v>
      </c>
      <c r="G114" s="17" t="str">
        <f>IF($C$2="Caminhão",Vértices!F109,"Sim")</f>
        <v>Sim</v>
      </c>
      <c r="H114" s="13" t="str">
        <f>IF(OR($C$3="Sem chuva",$I114=0), "Não",IF($D$3&gt;=Tabela12[[#This Row],[Chuva]],"Sim","Não"))</f>
        <v>Sim</v>
      </c>
      <c r="I114" s="13">
        <f>VLOOKUP(Vértices!E109,Tabela5[],2,)</f>
        <v>5</v>
      </c>
      <c r="J114" s="13" t="str">
        <f>IF(AND(Vértices!$J109="Sim",OR(Pesos!$D$4="Madrugada",Pesos!$D$4="Noite")),"Via bloqueada", "Via liberada")</f>
        <v>Via liberada</v>
      </c>
      <c r="K114" s="13">
        <f>Tabela12[[#This Row],[Distância (m)]]*((1*VLOOKUP(Vértices!$G109,Tabela7[[Classificação]:[Peso]],2,FALSE)+2*VLOOKUP(Vértices!I109,Tabela9[[Classificação]:[Peso]],2,FALSE)+3*VLOOKUP(Pesos!$C$5,Tabela11[[Classificação]:[Peso]],2,FALSE)+4*VLOOKUP(Vértices!H109,Tabela8[[Classificação]:[Peso]],2,FALSE)+5*VLOOKUP($D$3,Tabela5[[Fator Chuva]:[Peso]],2,FALSE))/15)*VLOOKUP(Vértices!G109,Tabela7[[Classificação]:[Peso]],2,FALSE)*VLOOKUP(Vértices!H109,Tabela8[[Classificação]:[Peso]],2,FALSE)*VLOOKUP(Vértices!I109,Tabela9[[Classificação]:[Peso]],2,FALSE)</f>
        <v>32661.993856247129</v>
      </c>
      <c r="L11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5" spans="4:12" ht="15" x14ac:dyDescent="0.2">
      <c r="D115" s="9" t="s">
        <v>54</v>
      </c>
      <c r="E115" s="9" t="s">
        <v>75</v>
      </c>
      <c r="F115" s="9">
        <f>Vértices!C110</f>
        <v>11467.744709844505</v>
      </c>
      <c r="G115" s="17" t="str">
        <f>IF($C$2="Caminhão",Vértices!F110,"Sim")</f>
        <v>Sim</v>
      </c>
      <c r="H115" s="13" t="str">
        <f>IF(OR($C$3="Sem chuva",$I115=0), "Não",IF($D$3&gt;=Tabela12[[#This Row],[Chuva]],"Sim","Não"))</f>
        <v>Não</v>
      </c>
      <c r="I115" s="13">
        <f>VLOOKUP(Vértices!E110,Tabela5[],2,)</f>
        <v>6</v>
      </c>
      <c r="J115" s="13" t="str">
        <f>IF(AND(Vértices!$J110="Sim",OR(Pesos!$D$4="Madrugada",Pesos!$D$4="Noite")),"Via bloqueada", "Via liberada")</f>
        <v>Via liberada</v>
      </c>
      <c r="K115" s="13">
        <f>Tabela12[[#This Row],[Distância (m)]]*((1*VLOOKUP(Vértices!$G110,Tabela7[[Classificação]:[Peso]],2,FALSE)+2*VLOOKUP(Vértices!I110,Tabela9[[Classificação]:[Peso]],2,FALSE)+3*VLOOKUP(Pesos!$C$5,Tabela11[[Classificação]:[Peso]],2,FALSE)+4*VLOOKUP(Vértices!H110,Tabela8[[Classificação]:[Peso]],2,FALSE)+5*VLOOKUP($D$3,Tabela5[[Fator Chuva]:[Peso]],2,FALSE))/15)*VLOOKUP(Vértices!G110,Tabela7[[Classificação]:[Peso]],2,FALSE)*VLOOKUP(Vértices!H110,Tabela8[[Classificação]:[Peso]],2,FALSE)*VLOOKUP(Vértices!I110,Tabela9[[Classificação]:[Peso]],2,FALSE)</f>
        <v>43864.123515155225</v>
      </c>
      <c r="L115" s="13">
        <f>IF(OR(Tabela12[[#This Row],[Vai poder passar?]]="Não",Tabela12[[#This Row],[Via Alagada?]]="Sim",Tabela12[[#This Row],[Criminalidade]]="Via bloqueada"), "Ignorar rota", Tabela12[[#This Row],[Peso]])</f>
        <v>43864.123515155225</v>
      </c>
    </row>
    <row r="116" spans="4:12" ht="15" x14ac:dyDescent="0.2">
      <c r="D116" s="6" t="s">
        <v>54</v>
      </c>
      <c r="E116" s="6" t="s">
        <v>91</v>
      </c>
      <c r="F116" s="6">
        <f>Vértices!C111</f>
        <v>4921.5093576453164</v>
      </c>
      <c r="G116" s="17" t="str">
        <f>IF($C$2="Caminhão",Vértices!F111,"Sim")</f>
        <v>Sim</v>
      </c>
      <c r="H116" s="13" t="str">
        <f>IF(OR($C$3="Sem chuva",$I116=0), "Não",IF($D$3&gt;=Tabela12[[#This Row],[Chuva]],"Sim","Não"))</f>
        <v>Não</v>
      </c>
      <c r="I116" s="13">
        <f>VLOOKUP(Vértices!E111,Tabela5[],2,)</f>
        <v>6</v>
      </c>
      <c r="J116" s="13" t="str">
        <f>IF(AND(Vértices!$J111="Sim",OR(Pesos!$D$4="Madrugada",Pesos!$D$4="Noite")),"Via bloqueada", "Via liberada")</f>
        <v>Via liberada</v>
      </c>
      <c r="K116" s="13">
        <f>Tabela12[[#This Row],[Distância (m)]]*((1*VLOOKUP(Vértices!$G111,Tabela7[[Classificação]:[Peso]],2,FALSE)+2*VLOOKUP(Vértices!I111,Tabela9[[Classificação]:[Peso]],2,FALSE)+3*VLOOKUP(Pesos!$C$5,Tabela11[[Classificação]:[Peso]],2,FALSE)+4*VLOOKUP(Vértices!H111,Tabela8[[Classificação]:[Peso]],2,FALSE)+5*VLOOKUP($D$3,Tabela5[[Fator Chuva]:[Peso]],2,FALSE))/15)*VLOOKUP(Vértices!G111,Tabela7[[Classificação]:[Peso]],2,FALSE)*VLOOKUP(Vértices!H111,Tabela8[[Classificação]:[Peso]],2,FALSE)*VLOOKUP(Vértices!I111,Tabela9[[Classificação]:[Peso]],2,FALSE)</f>
        <v>50035.345136060714</v>
      </c>
      <c r="L116" s="13">
        <f>IF(OR(Tabela12[[#This Row],[Vai poder passar?]]="Não",Tabela12[[#This Row],[Via Alagada?]]="Sim",Tabela12[[#This Row],[Criminalidade]]="Via bloqueada"), "Ignorar rota", Tabela12[[#This Row],[Peso]])</f>
        <v>50035.345136060714</v>
      </c>
    </row>
    <row r="117" spans="4:12" ht="15" x14ac:dyDescent="0.2">
      <c r="D117" s="9" t="s">
        <v>55</v>
      </c>
      <c r="E117" s="9" t="s">
        <v>94</v>
      </c>
      <c r="F117" s="9">
        <f>Vértices!C112</f>
        <v>8511.2472889610035</v>
      </c>
      <c r="G117" s="17" t="str">
        <f>IF($C$2="Caminhão",Vértices!F112,"Sim")</f>
        <v>Não</v>
      </c>
      <c r="H117" s="13" t="str">
        <f>IF(OR($C$3="Sem chuva",$I117=0), "Não",IF($D$3&gt;=Tabela12[[#This Row],[Chuva]],"Sim","Não"))</f>
        <v>Não</v>
      </c>
      <c r="I117" s="13">
        <f>VLOOKUP(Vértices!E112,Tabela5[],2,)</f>
        <v>0</v>
      </c>
      <c r="J117" s="13" t="str">
        <f>IF(AND(Vértices!$J112="Sim",OR(Pesos!$D$4="Madrugada",Pesos!$D$4="Noite")),"Via bloqueada", "Via liberada")</f>
        <v>Via liberada</v>
      </c>
      <c r="K117" s="13">
        <f>Tabela12[[#This Row],[Distância (m)]]*((1*VLOOKUP(Vértices!$G112,Tabela7[[Classificação]:[Peso]],2,FALSE)+2*VLOOKUP(Vértices!I112,Tabela9[[Classificação]:[Peso]],2,FALSE)+3*VLOOKUP(Pesos!$C$5,Tabela11[[Classificação]:[Peso]],2,FALSE)+4*VLOOKUP(Vértices!H112,Tabela8[[Classificação]:[Peso]],2,FALSE)+5*VLOOKUP($D$3,Tabela5[[Fator Chuva]:[Peso]],2,FALSE))/15)*VLOOKUP(Vértices!G112,Tabela7[[Classificação]:[Peso]],2,FALSE)*VLOOKUP(Vértices!H112,Tabela8[[Classificação]:[Peso]],2,FALSE)*VLOOKUP(Vértices!I112,Tabela9[[Classificação]:[Peso]],2,FALSE)</f>
        <v>49790.796640421868</v>
      </c>
      <c r="L11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18" spans="4:12" ht="15" x14ac:dyDescent="0.2">
      <c r="D118" s="6" t="s">
        <v>55</v>
      </c>
      <c r="E118" s="6" t="s">
        <v>28</v>
      </c>
      <c r="F118" s="6">
        <f>Vértices!C113</f>
        <v>12132.748281217268</v>
      </c>
      <c r="G118" s="17" t="str">
        <f>IF($C$2="Caminhão",Vértices!F113,"Sim")</f>
        <v>Sim</v>
      </c>
      <c r="H118" s="13" t="str">
        <f>IF(OR($C$3="Sem chuva",$I118=0), "Não",IF($D$3&gt;=Tabela12[[#This Row],[Chuva]],"Sim","Não"))</f>
        <v>Não</v>
      </c>
      <c r="I118" s="13">
        <f>VLOOKUP(Vértices!E113,Tabela5[],2,)</f>
        <v>0</v>
      </c>
      <c r="J118" s="13" t="str">
        <f>IF(AND(Vértices!$J113="Sim",OR(Pesos!$D$4="Madrugada",Pesos!$D$4="Noite")),"Via bloqueada", "Via liberada")</f>
        <v>Via liberada</v>
      </c>
      <c r="K118" s="13">
        <f>Tabela12[[#This Row],[Distância (m)]]*((1*VLOOKUP(Vértices!$G113,Tabela7[[Classificação]:[Peso]],2,FALSE)+2*VLOOKUP(Vértices!I113,Tabela9[[Classificação]:[Peso]],2,FALSE)+3*VLOOKUP(Pesos!$C$5,Tabela11[[Classificação]:[Peso]],2,FALSE)+4*VLOOKUP(Vértices!H113,Tabela8[[Classificação]:[Peso]],2,FALSE)+5*VLOOKUP($D$3,Tabela5[[Fator Chuva]:[Peso]],2,FALSE))/15)*VLOOKUP(Vértices!G113,Tabela7[[Classificação]:[Peso]],2,FALSE)*VLOOKUP(Vértices!H113,Tabela8[[Classificação]:[Peso]],2,FALSE)*VLOOKUP(Vértices!I113,Tabela9[[Classificação]:[Peso]],2,FALSE)</f>
        <v>188057.59835886766</v>
      </c>
      <c r="L118" s="13">
        <f>IF(OR(Tabela12[[#This Row],[Vai poder passar?]]="Não",Tabela12[[#This Row],[Via Alagada?]]="Sim",Tabela12[[#This Row],[Criminalidade]]="Via bloqueada"), "Ignorar rota", Tabela12[[#This Row],[Peso]])</f>
        <v>188057.59835886766</v>
      </c>
    </row>
    <row r="119" spans="4:12" ht="15" x14ac:dyDescent="0.2">
      <c r="D119" s="9" t="s">
        <v>55</v>
      </c>
      <c r="E119" s="9" t="s">
        <v>88</v>
      </c>
      <c r="F119" s="9">
        <f>Vértices!C114</f>
        <v>25923.261015234155</v>
      </c>
      <c r="G119" s="17" t="str">
        <f>IF($C$2="Caminhão",Vértices!F114,"Sim")</f>
        <v>Sim</v>
      </c>
      <c r="H119" s="13" t="str">
        <f>IF(OR($C$3="Sem chuva",$I119=0), "Não",IF($D$3&gt;=Tabela12[[#This Row],[Chuva]],"Sim","Não"))</f>
        <v>Não</v>
      </c>
      <c r="I119" s="13">
        <f>VLOOKUP(Vértices!E114,Tabela5[],2,)</f>
        <v>0</v>
      </c>
      <c r="J119" s="13" t="str">
        <f>IF(AND(Vértices!$J114="Sim",OR(Pesos!$D$4="Madrugada",Pesos!$D$4="Noite")),"Via bloqueada", "Via liberada")</f>
        <v>Via liberada</v>
      </c>
      <c r="K119" s="13">
        <f>Tabela12[[#This Row],[Distância (m)]]*((1*VLOOKUP(Vértices!$G114,Tabela7[[Classificação]:[Peso]],2,FALSE)+2*VLOOKUP(Vértices!I114,Tabela9[[Classificação]:[Peso]],2,FALSE)+3*VLOOKUP(Pesos!$C$5,Tabela11[[Classificação]:[Peso]],2,FALSE)+4*VLOOKUP(Vértices!H114,Tabela8[[Classificação]:[Peso]],2,FALSE)+5*VLOOKUP($D$3,Tabela5[[Fator Chuva]:[Peso]],2,FALSE))/15)*VLOOKUP(Vértices!G114,Tabela7[[Classificação]:[Peso]],2,FALSE)*VLOOKUP(Vértices!H114,Tabela8[[Classificação]:[Peso]],2,FALSE)*VLOOKUP(Vértices!I114,Tabela9[[Classificação]:[Peso]],2,FALSE)</f>
        <v>300709.82777671621</v>
      </c>
      <c r="L119" s="13">
        <f>IF(OR(Tabela12[[#This Row],[Vai poder passar?]]="Não",Tabela12[[#This Row],[Via Alagada?]]="Sim",Tabela12[[#This Row],[Criminalidade]]="Via bloqueada"), "Ignorar rota", Tabela12[[#This Row],[Peso]])</f>
        <v>300709.82777671621</v>
      </c>
    </row>
    <row r="120" spans="4:12" ht="15" x14ac:dyDescent="0.2">
      <c r="D120" s="6" t="s">
        <v>56</v>
      </c>
      <c r="E120" s="6" t="s">
        <v>32</v>
      </c>
      <c r="F120" s="6">
        <f>Vértices!C115</f>
        <v>31751.632996401167</v>
      </c>
      <c r="G120" s="17" t="str">
        <f>IF($C$2="Caminhão",Vértices!F115,"Sim")</f>
        <v>Sim</v>
      </c>
      <c r="H120" s="13" t="str">
        <f>IF(OR($C$3="Sem chuva",$I120=0), "Não",IF($D$3&gt;=Tabela12[[#This Row],[Chuva]],"Sim","Não"))</f>
        <v>Não</v>
      </c>
      <c r="I120" s="13">
        <f>VLOOKUP(Vértices!E115,Tabela5[],2,)</f>
        <v>0</v>
      </c>
      <c r="J120" s="13" t="str">
        <f>IF(AND(Vértices!$J115="Sim",OR(Pesos!$D$4="Madrugada",Pesos!$D$4="Noite")),"Via bloqueada", "Via liberada")</f>
        <v>Via liberada</v>
      </c>
      <c r="K120" s="13">
        <f>Tabela12[[#This Row],[Distância (m)]]*((1*VLOOKUP(Vértices!$G115,Tabela7[[Classificação]:[Peso]],2,FALSE)+2*VLOOKUP(Vértices!I115,Tabela9[[Classificação]:[Peso]],2,FALSE)+3*VLOOKUP(Pesos!$C$5,Tabela11[[Classificação]:[Peso]],2,FALSE)+4*VLOOKUP(Vértices!H115,Tabela8[[Classificação]:[Peso]],2,FALSE)+5*VLOOKUP($D$3,Tabela5[[Fator Chuva]:[Peso]],2,FALSE))/15)*VLOOKUP(Vértices!G115,Tabela7[[Classificação]:[Peso]],2,FALSE)*VLOOKUP(Vértices!H115,Tabela8[[Classificação]:[Peso]],2,FALSE)*VLOOKUP(Vértices!I115,Tabela9[[Classificação]:[Peso]],2,FALSE)</f>
        <v>47627.449494601751</v>
      </c>
      <c r="L120" s="13">
        <f>IF(OR(Tabela12[[#This Row],[Vai poder passar?]]="Não",Tabela12[[#This Row],[Via Alagada?]]="Sim",Tabela12[[#This Row],[Criminalidade]]="Via bloqueada"), "Ignorar rota", Tabela12[[#This Row],[Peso]])</f>
        <v>47627.449494601751</v>
      </c>
    </row>
    <row r="121" spans="4:12" ht="15" x14ac:dyDescent="0.2">
      <c r="D121" s="9" t="s">
        <v>56</v>
      </c>
      <c r="E121" s="9" t="s">
        <v>43</v>
      </c>
      <c r="F121" s="9">
        <f>Vértices!C116</f>
        <v>4920.0582704342578</v>
      </c>
      <c r="G121" s="17" t="str">
        <f>IF($C$2="Caminhão",Vértices!F116,"Sim")</f>
        <v>Sim</v>
      </c>
      <c r="H121" s="13" t="str">
        <f>IF(OR($C$3="Sem chuva",$I121=0), "Não",IF($D$3&gt;=Tabela12[[#This Row],[Chuva]],"Sim","Não"))</f>
        <v>Sim</v>
      </c>
      <c r="I121" s="13">
        <f>VLOOKUP(Vértices!E116,Tabela5[],2,)</f>
        <v>5</v>
      </c>
      <c r="J121" s="13" t="str">
        <f>IF(AND(Vértices!$J116="Sim",OR(Pesos!$D$4="Madrugada",Pesos!$D$4="Noite")),"Via bloqueada", "Via liberada")</f>
        <v>Via liberada</v>
      </c>
      <c r="K121" s="13">
        <f>Tabela12[[#This Row],[Distância (m)]]*((1*VLOOKUP(Vértices!$G116,Tabela7[[Classificação]:[Peso]],2,FALSE)+2*VLOOKUP(Vértices!I116,Tabela9[[Classificação]:[Peso]],2,FALSE)+3*VLOOKUP(Pesos!$C$5,Tabela11[[Classificação]:[Peso]],2,FALSE)+4*VLOOKUP(Vértices!H116,Tabela8[[Classificação]:[Peso]],2,FALSE)+5*VLOOKUP($D$3,Tabela5[[Fator Chuva]:[Peso]],2,FALSE))/15)*VLOOKUP(Vértices!G116,Tabela7[[Classificação]:[Peso]],2,FALSE)*VLOOKUP(Vértices!H116,Tabela8[[Classificação]:[Peso]],2,FALSE)*VLOOKUP(Vértices!I116,Tabela9[[Classificação]:[Peso]],2,FALSE)</f>
        <v>3362.0398181300761</v>
      </c>
      <c r="L12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22" spans="4:12" ht="15" x14ac:dyDescent="0.2">
      <c r="D122" s="6" t="s">
        <v>56</v>
      </c>
      <c r="E122" s="6" t="s">
        <v>82</v>
      </c>
      <c r="F122" s="6">
        <f>Vértices!C117</f>
        <v>86383.470758135561</v>
      </c>
      <c r="G122" s="17" t="str">
        <f>IF($C$2="Caminhão",Vértices!F117,"Sim")</f>
        <v>Não</v>
      </c>
      <c r="H122" s="13" t="str">
        <f>IF(OR($C$3="Sem chuva",$I122=0), "Não",IF($D$3&gt;=Tabela12[[#This Row],[Chuva]],"Sim","Não"))</f>
        <v>Não</v>
      </c>
      <c r="I122" s="13">
        <f>VLOOKUP(Vértices!E117,Tabela5[],2,)</f>
        <v>0</v>
      </c>
      <c r="J122" s="13" t="str">
        <f>IF(AND(Vértices!$J117="Sim",OR(Pesos!$D$4="Madrugada",Pesos!$D$4="Noite")),"Via bloqueada", "Via liberada")</f>
        <v>Via liberada</v>
      </c>
      <c r="K122" s="13">
        <f>Tabela12[[#This Row],[Distância (m)]]*((1*VLOOKUP(Vértices!$G117,Tabela7[[Classificação]:[Peso]],2,FALSE)+2*VLOOKUP(Vértices!I117,Tabela9[[Classificação]:[Peso]],2,FALSE)+3*VLOOKUP(Pesos!$C$5,Tabela11[[Classificação]:[Peso]],2,FALSE)+4*VLOOKUP(Vértices!H117,Tabela8[[Classificação]:[Peso]],2,FALSE)+5*VLOOKUP($D$3,Tabela5[[Fator Chuva]:[Peso]],2,FALSE))/15)*VLOOKUP(Vértices!G117,Tabela7[[Classificação]:[Peso]],2,FALSE)*VLOOKUP(Vértices!H117,Tabela8[[Classificação]:[Peso]],2,FALSE)*VLOOKUP(Vértices!I117,Tabela9[[Classificação]:[Peso]],2,FALSE)</f>
        <v>505343.30393509311</v>
      </c>
      <c r="L12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23" spans="4:12" ht="15" x14ac:dyDescent="0.2">
      <c r="D123" s="9" t="s">
        <v>57</v>
      </c>
      <c r="E123" s="9" t="s">
        <v>58</v>
      </c>
      <c r="F123" s="9">
        <f>Vértices!C118</f>
        <v>1196.1887013398193</v>
      </c>
      <c r="G123" s="17" t="str">
        <f>IF($C$2="Caminhão",Vértices!F118,"Sim")</f>
        <v>Sim</v>
      </c>
      <c r="H123" s="13" t="str">
        <f>IF(OR($C$3="Sem chuva",$I123=0), "Não",IF($D$3&gt;=Tabela12[[#This Row],[Chuva]],"Sim","Não"))</f>
        <v>Não</v>
      </c>
      <c r="I123" s="13">
        <f>VLOOKUP(Vértices!E118,Tabela5[],2,)</f>
        <v>6</v>
      </c>
      <c r="J123" s="13" t="str">
        <f>IF(AND(Vértices!$J118="Sim",OR(Pesos!$D$4="Madrugada",Pesos!$D$4="Noite")),"Via bloqueada", "Via liberada")</f>
        <v>Via liberada</v>
      </c>
      <c r="K123" s="13">
        <f>Tabela12[[#This Row],[Distância (m)]]*((1*VLOOKUP(Vértices!$G118,Tabela7[[Classificação]:[Peso]],2,FALSE)+2*VLOOKUP(Vértices!I118,Tabela9[[Classificação]:[Peso]],2,FALSE)+3*VLOOKUP(Pesos!$C$5,Tabela11[[Classificação]:[Peso]],2,FALSE)+4*VLOOKUP(Vértices!H118,Tabela8[[Classificação]:[Peso]],2,FALSE)+5*VLOOKUP($D$3,Tabela5[[Fator Chuva]:[Peso]],2,FALSE))/15)*VLOOKUP(Vértices!G118,Tabela7[[Classificação]:[Peso]],2,FALSE)*VLOOKUP(Vértices!H118,Tabela8[[Classificação]:[Peso]],2,FALSE)*VLOOKUP(Vértices!I118,Tabela9[[Classificação]:[Peso]],2,FALSE)</f>
        <v>6997.703902837944</v>
      </c>
      <c r="L123" s="13">
        <f>IF(OR(Tabela12[[#This Row],[Vai poder passar?]]="Não",Tabela12[[#This Row],[Via Alagada?]]="Sim",Tabela12[[#This Row],[Criminalidade]]="Via bloqueada"), "Ignorar rota", Tabela12[[#This Row],[Peso]])</f>
        <v>6997.703902837944</v>
      </c>
    </row>
    <row r="124" spans="4:12" ht="15" x14ac:dyDescent="0.2">
      <c r="D124" s="6" t="s">
        <v>57</v>
      </c>
      <c r="E124" s="6" t="s">
        <v>105</v>
      </c>
      <c r="F124" s="6">
        <f>Vértices!C119</f>
        <v>22574.012006459208</v>
      </c>
      <c r="G124" s="17" t="str">
        <f>IF($C$2="Caminhão",Vértices!F119,"Sim")</f>
        <v>Sim</v>
      </c>
      <c r="H124" s="13" t="str">
        <f>IF(OR($C$3="Sem chuva",$I124=0), "Não",IF($D$3&gt;=Tabela12[[#This Row],[Chuva]],"Sim","Não"))</f>
        <v>Não</v>
      </c>
      <c r="I124" s="13">
        <f>VLOOKUP(Vértices!E119,Tabela5[],2,)</f>
        <v>6</v>
      </c>
      <c r="J124" s="13" t="str">
        <f>IF(AND(Vértices!$J119="Sim",OR(Pesos!$D$4="Madrugada",Pesos!$D$4="Noite")),"Via bloqueada", "Via liberada")</f>
        <v>Via liberada</v>
      </c>
      <c r="K124" s="13">
        <f>Tabela12[[#This Row],[Distância (m)]]*((1*VLOOKUP(Vértices!$G119,Tabela7[[Classificação]:[Peso]],2,FALSE)+2*VLOOKUP(Vértices!I119,Tabela9[[Classificação]:[Peso]],2,FALSE)+3*VLOOKUP(Pesos!$C$5,Tabela11[[Classificação]:[Peso]],2,FALSE)+4*VLOOKUP(Vértices!H119,Tabela8[[Classificação]:[Peso]],2,FALSE)+5*VLOOKUP($D$3,Tabela5[[Fator Chuva]:[Peso]],2,FALSE))/15)*VLOOKUP(Vértices!G119,Tabela7[[Classificação]:[Peso]],2,FALSE)*VLOOKUP(Vértices!H119,Tabela8[[Classificação]:[Peso]],2,FALSE)*VLOOKUP(Vértices!I119,Tabela9[[Classificação]:[Peso]],2,FALSE)</f>
        <v>119642.26363423381</v>
      </c>
      <c r="L124" s="13">
        <f>IF(OR(Tabela12[[#This Row],[Vai poder passar?]]="Não",Tabela12[[#This Row],[Via Alagada?]]="Sim",Tabela12[[#This Row],[Criminalidade]]="Via bloqueada"), "Ignorar rota", Tabela12[[#This Row],[Peso]])</f>
        <v>119642.26363423381</v>
      </c>
    </row>
    <row r="125" spans="4:12" ht="15" x14ac:dyDescent="0.2">
      <c r="D125" s="9" t="s">
        <v>58</v>
      </c>
      <c r="E125" s="9" t="s">
        <v>57</v>
      </c>
      <c r="F125" s="9">
        <f>Vértices!C120</f>
        <v>1196.1887013398193</v>
      </c>
      <c r="G125" s="17" t="str">
        <f>IF($C$2="Caminhão",Vértices!F120,"Sim")</f>
        <v>Sim</v>
      </c>
      <c r="H125" s="13" t="str">
        <f>IF(OR($C$3="Sem chuva",$I125=0), "Não",IF($D$3&gt;=Tabela12[[#This Row],[Chuva]],"Sim","Não"))</f>
        <v>Não</v>
      </c>
      <c r="I125" s="13">
        <f>VLOOKUP(Vértices!E120,Tabela5[],2,)</f>
        <v>6</v>
      </c>
      <c r="J125" s="13" t="str">
        <f>IF(AND(Vértices!$J120="Sim",OR(Pesos!$D$4="Madrugada",Pesos!$D$4="Noite")),"Via bloqueada", "Via liberada")</f>
        <v>Via liberada</v>
      </c>
      <c r="K125" s="13">
        <f>Tabela12[[#This Row],[Distância (m)]]*((1*VLOOKUP(Vértices!$G120,Tabela7[[Classificação]:[Peso]],2,FALSE)+2*VLOOKUP(Vértices!I120,Tabela9[[Classificação]:[Peso]],2,FALSE)+3*VLOOKUP(Pesos!$C$5,Tabela11[[Classificação]:[Peso]],2,FALSE)+4*VLOOKUP(Vértices!H120,Tabela8[[Classificação]:[Peso]],2,FALSE)+5*VLOOKUP($D$3,Tabela5[[Fator Chuva]:[Peso]],2,FALSE))/15)*VLOOKUP(Vértices!G120,Tabela7[[Classificação]:[Peso]],2,FALSE)*VLOOKUP(Vértices!H120,Tabela8[[Classificação]:[Peso]],2,FALSE)*VLOOKUP(Vértices!I120,Tabela9[[Classificação]:[Peso]],2,FALSE)</f>
        <v>6997.703902837944</v>
      </c>
      <c r="L125" s="13">
        <f>IF(OR(Tabela12[[#This Row],[Vai poder passar?]]="Não",Tabela12[[#This Row],[Via Alagada?]]="Sim",Tabela12[[#This Row],[Criminalidade]]="Via bloqueada"), "Ignorar rota", Tabela12[[#This Row],[Peso]])</f>
        <v>6997.703902837944</v>
      </c>
    </row>
    <row r="126" spans="4:12" ht="15" x14ac:dyDescent="0.2">
      <c r="D126" s="6" t="s">
        <v>58</v>
      </c>
      <c r="E126" s="6" t="s">
        <v>8</v>
      </c>
      <c r="F126" s="6">
        <f>Vértices!C121</f>
        <v>99010.07836147683</v>
      </c>
      <c r="G126" s="17" t="str">
        <f>IF($C$2="Caminhão",Vértices!F121,"Sim")</f>
        <v>Sim</v>
      </c>
      <c r="H126" s="13" t="str">
        <f>IF(OR($C$3="Sem chuva",$I126=0), "Não",IF($D$3&gt;=Tabela12[[#This Row],[Chuva]],"Sim","Não"))</f>
        <v>Sim</v>
      </c>
      <c r="I126" s="13">
        <f>VLOOKUP(Vértices!E121,Tabela5[],2,)</f>
        <v>5</v>
      </c>
      <c r="J126" s="13" t="str">
        <f>IF(AND(Vértices!$J121="Sim",OR(Pesos!$D$4="Madrugada",Pesos!$D$4="Noite")),"Via bloqueada", "Via liberada")</f>
        <v>Via liberada</v>
      </c>
      <c r="K126" s="13">
        <f>Tabela12[[#This Row],[Distância (m)]]*((1*VLOOKUP(Vértices!$G121,Tabela7[[Classificação]:[Peso]],2,FALSE)+2*VLOOKUP(Vértices!I121,Tabela9[[Classificação]:[Peso]],2,FALSE)+3*VLOOKUP(Pesos!$C$5,Tabela11[[Classificação]:[Peso]],2,FALSE)+4*VLOOKUP(Vértices!H121,Tabela8[[Classificação]:[Peso]],2,FALSE)+5*VLOOKUP($D$3,Tabela5[[Fator Chuva]:[Peso]],2,FALSE))/15)*VLOOKUP(Vértices!G121,Tabela7[[Classificação]:[Peso]],2,FALSE)*VLOOKUP(Vértices!H121,Tabela8[[Classificação]:[Peso]],2,FALSE)*VLOOKUP(Vértices!I121,Tabela9[[Classificação]:[Peso]],2,FALSE)</f>
        <v>752476.59554722381</v>
      </c>
      <c r="L12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27" spans="4:12" ht="15" x14ac:dyDescent="0.2">
      <c r="D127" s="9" t="s">
        <v>59</v>
      </c>
      <c r="E127" s="9" t="s">
        <v>86</v>
      </c>
      <c r="F127" s="9">
        <f>Vértices!C122</f>
        <v>29648.366974350483</v>
      </c>
      <c r="G127" s="17" t="str">
        <f>IF($C$2="Caminhão",Vértices!F122,"Sim")</f>
        <v>Sim</v>
      </c>
      <c r="H127" s="13" t="str">
        <f>IF(OR($C$3="Sem chuva",$I127=0), "Não",IF($D$3&gt;=Tabela12[[#This Row],[Chuva]],"Sim","Não"))</f>
        <v>Sim</v>
      </c>
      <c r="I127" s="13">
        <f>VLOOKUP(Vértices!E122,Tabela5[],2,)</f>
        <v>5</v>
      </c>
      <c r="J127" s="13" t="str">
        <f>IF(AND(Vértices!$J122="Sim",OR(Pesos!$D$4="Madrugada",Pesos!$D$4="Noite")),"Via bloqueada", "Via liberada")</f>
        <v>Via liberada</v>
      </c>
      <c r="K127" s="13">
        <f>Tabela12[[#This Row],[Distância (m)]]*((1*VLOOKUP(Vértices!$G122,Tabela7[[Classificação]:[Peso]],2,FALSE)+2*VLOOKUP(Vértices!I122,Tabela9[[Classificação]:[Peso]],2,FALSE)+3*VLOOKUP(Pesos!$C$5,Tabela11[[Classificação]:[Peso]],2,FALSE)+4*VLOOKUP(Vértices!H122,Tabela8[[Classificação]:[Peso]],2,FALSE)+5*VLOOKUP($D$3,Tabela5[[Fator Chuva]:[Peso]],2,FALSE))/15)*VLOOKUP(Vértices!G122,Tabela7[[Classificação]:[Peso]],2,FALSE)*VLOOKUP(Vértices!H122,Tabela8[[Classificação]:[Peso]],2,FALSE)*VLOOKUP(Vértices!I122,Tabela9[[Classificação]:[Peso]],2,FALSE)</f>
        <v>459549.68810243253</v>
      </c>
      <c r="L12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28" spans="4:12" ht="15" x14ac:dyDescent="0.2">
      <c r="D128" s="6" t="s">
        <v>59</v>
      </c>
      <c r="E128" s="6" t="s">
        <v>10</v>
      </c>
      <c r="F128" s="6">
        <f>Vértices!C123</f>
        <v>39935.660237081509</v>
      </c>
      <c r="G128" s="17" t="str">
        <f>IF($C$2="Caminhão",Vértices!F123,"Sim")</f>
        <v>Sim</v>
      </c>
      <c r="H128" s="13" t="str">
        <f>IF(OR($C$3="Sem chuva",$I128=0), "Não",IF($D$3&gt;=Tabela12[[#This Row],[Chuva]],"Sim","Não"))</f>
        <v>Não</v>
      </c>
      <c r="I128" s="13">
        <f>VLOOKUP(Vértices!E123,Tabela5[],2,)</f>
        <v>0</v>
      </c>
      <c r="J128" s="13" t="str">
        <f>IF(AND(Vértices!$J123="Sim",OR(Pesos!$D$4="Madrugada",Pesos!$D$4="Noite")),"Via bloqueada", "Via liberada")</f>
        <v>Via liberada</v>
      </c>
      <c r="K128" s="13">
        <f>Tabela12[[#This Row],[Distância (m)]]*((1*VLOOKUP(Vértices!$G123,Tabela7[[Classificação]:[Peso]],2,FALSE)+2*VLOOKUP(Vértices!I123,Tabela9[[Classificação]:[Peso]],2,FALSE)+3*VLOOKUP(Pesos!$C$5,Tabela11[[Classificação]:[Peso]],2,FALSE)+4*VLOOKUP(Vértices!H123,Tabela8[[Classificação]:[Peso]],2,FALSE)+5*VLOOKUP($D$3,Tabela5[[Fator Chuva]:[Peso]],2,FALSE))/15)*VLOOKUP(Vértices!G123,Tabela7[[Classificação]:[Peso]],2,FALSE)*VLOOKUP(Vértices!H123,Tabela8[[Classificação]:[Peso]],2,FALSE)*VLOOKUP(Vértices!I123,Tabela9[[Classificação]:[Peso]],2,FALSE)</f>
        <v>233623.61238692683</v>
      </c>
      <c r="L128" s="13">
        <f>IF(OR(Tabela12[[#This Row],[Vai poder passar?]]="Não",Tabela12[[#This Row],[Via Alagada?]]="Sim",Tabela12[[#This Row],[Criminalidade]]="Via bloqueada"), "Ignorar rota", Tabela12[[#This Row],[Peso]])</f>
        <v>233623.61238692683</v>
      </c>
    </row>
    <row r="129" spans="4:12" ht="15" x14ac:dyDescent="0.2">
      <c r="D129" s="9" t="s">
        <v>59</v>
      </c>
      <c r="E129" s="9" t="s">
        <v>49</v>
      </c>
      <c r="F129" s="9">
        <f>Vértices!C124</f>
        <v>2137.4270589280422</v>
      </c>
      <c r="G129" s="17" t="str">
        <f>IF($C$2="Caminhão",Vértices!F124,"Sim")</f>
        <v>Sim</v>
      </c>
      <c r="H129" s="13" t="str">
        <f>IF(OR($C$3="Sem chuva",$I129=0), "Não",IF($D$3&gt;=Tabela12[[#This Row],[Chuva]],"Sim","Não"))</f>
        <v>Não</v>
      </c>
      <c r="I129" s="13">
        <f>VLOOKUP(Vértices!E124,Tabela5[],2,)</f>
        <v>6</v>
      </c>
      <c r="J129" s="13" t="str">
        <f>IF(AND(Vértices!$J124="Sim",OR(Pesos!$D$4="Madrugada",Pesos!$D$4="Noite")),"Via bloqueada", "Via liberada")</f>
        <v>Via liberada</v>
      </c>
      <c r="K129" s="13">
        <f>Tabela12[[#This Row],[Distância (m)]]*((1*VLOOKUP(Vértices!$G124,Tabela7[[Classificação]:[Peso]],2,FALSE)+2*VLOOKUP(Vértices!I124,Tabela9[[Classificação]:[Peso]],2,FALSE)+3*VLOOKUP(Pesos!$C$5,Tabela11[[Classificação]:[Peso]],2,FALSE)+4*VLOOKUP(Vértices!H124,Tabela8[[Classificação]:[Peso]],2,FALSE)+5*VLOOKUP($D$3,Tabela5[[Fator Chuva]:[Peso]],2,FALSE))/15)*VLOOKUP(Vértices!G124,Tabela7[[Classificação]:[Peso]],2,FALSE)*VLOOKUP(Vértices!H124,Tabela8[[Classificação]:[Peso]],2,FALSE)*VLOOKUP(Vértices!I124,Tabela9[[Classificação]:[Peso]],2,FALSE)</f>
        <v>33130.119413384658</v>
      </c>
      <c r="L129" s="13">
        <f>IF(OR(Tabela12[[#This Row],[Vai poder passar?]]="Não",Tabela12[[#This Row],[Via Alagada?]]="Sim",Tabela12[[#This Row],[Criminalidade]]="Via bloqueada"), "Ignorar rota", Tabela12[[#This Row],[Peso]])</f>
        <v>33130.119413384658</v>
      </c>
    </row>
    <row r="130" spans="4:12" ht="15" x14ac:dyDescent="0.2">
      <c r="D130" s="6" t="s">
        <v>60</v>
      </c>
      <c r="E130" s="6" t="s">
        <v>73</v>
      </c>
      <c r="F130" s="6">
        <f>Vértices!C125</f>
        <v>14439.737037296203</v>
      </c>
      <c r="G130" s="17" t="str">
        <f>IF($C$2="Caminhão",Vértices!F125,"Sim")</f>
        <v>Sim</v>
      </c>
      <c r="H130" s="13" t="str">
        <f>IF(OR($C$3="Sem chuva",$I130=0), "Não",IF($D$3&gt;=Tabela12[[#This Row],[Chuva]],"Sim","Não"))</f>
        <v>Não</v>
      </c>
      <c r="I130" s="13">
        <f>VLOOKUP(Vértices!E125,Tabela5[],2,)</f>
        <v>6</v>
      </c>
      <c r="J130" s="13" t="str">
        <f>IF(AND(Vértices!$J125="Sim",OR(Pesos!$D$4="Madrugada",Pesos!$D$4="Noite")),"Via bloqueada", "Via liberada")</f>
        <v>Via liberada</v>
      </c>
      <c r="K130" s="13">
        <f>Tabela12[[#This Row],[Distância (m)]]*((1*VLOOKUP(Vértices!$G125,Tabela7[[Classificação]:[Peso]],2,FALSE)+2*VLOOKUP(Vértices!I125,Tabela9[[Classificação]:[Peso]],2,FALSE)+3*VLOOKUP(Pesos!$C$5,Tabela11[[Classificação]:[Peso]],2,FALSE)+4*VLOOKUP(Vértices!H125,Tabela8[[Classificação]:[Peso]],2,FALSE)+5*VLOOKUP($D$3,Tabela5[[Fator Chuva]:[Peso]],2,FALSE))/15)*VLOOKUP(Vértices!G125,Tabela7[[Classificação]:[Peso]],2,FALSE)*VLOOKUP(Vértices!H125,Tabela8[[Classificação]:[Peso]],2,FALSE)*VLOOKUP(Vértices!I125,Tabela9[[Classificação]:[Peso]],2,FALSE)</f>
        <v>84472.461668182805</v>
      </c>
      <c r="L130" s="13">
        <f>IF(OR(Tabela12[[#This Row],[Vai poder passar?]]="Não",Tabela12[[#This Row],[Via Alagada?]]="Sim",Tabela12[[#This Row],[Criminalidade]]="Via bloqueada"), "Ignorar rota", Tabela12[[#This Row],[Peso]])</f>
        <v>84472.461668182805</v>
      </c>
    </row>
    <row r="131" spans="4:12" ht="15" x14ac:dyDescent="0.2">
      <c r="D131" s="9" t="s">
        <v>61</v>
      </c>
      <c r="E131" s="9" t="s">
        <v>63</v>
      </c>
      <c r="F131" s="9">
        <f>Vértices!C126</f>
        <v>737.81919848887424</v>
      </c>
      <c r="G131" s="17" t="str">
        <f>IF($C$2="Caminhão",Vértices!F126,"Sim")</f>
        <v>Sim</v>
      </c>
      <c r="H131" s="13" t="str">
        <f>IF(OR($C$3="Sem chuva",$I131=0), "Não",IF($D$3&gt;=Tabela12[[#This Row],[Chuva]],"Sim","Não"))</f>
        <v>Não</v>
      </c>
      <c r="I131" s="13">
        <f>VLOOKUP(Vértices!E126,Tabela5[],2,)</f>
        <v>0</v>
      </c>
      <c r="J131" s="13" t="str">
        <f>IF(AND(Vértices!$J126="Sim",OR(Pesos!$D$4="Madrugada",Pesos!$D$4="Noite")),"Via bloqueada", "Via liberada")</f>
        <v>Via liberada</v>
      </c>
      <c r="K131" s="13">
        <f>Tabela12[[#This Row],[Distância (m)]]*((1*VLOOKUP(Vértices!$G126,Tabela7[[Classificação]:[Peso]],2,FALSE)+2*VLOOKUP(Vértices!I126,Tabela9[[Classificação]:[Peso]],2,FALSE)+3*VLOOKUP(Pesos!$C$5,Tabela11[[Classificação]:[Peso]],2,FALSE)+4*VLOOKUP(Vértices!H126,Tabela8[[Classificação]:[Peso]],2,FALSE)+5*VLOOKUP($D$3,Tabela5[[Fator Chuva]:[Peso]],2,FALSE))/15)*VLOOKUP(Vértices!G126,Tabela7[[Classificação]:[Peso]],2,FALSE)*VLOOKUP(Vértices!H126,Tabela8[[Classificação]:[Peso]],2,FALSE)*VLOOKUP(Vértices!I126,Tabela9[[Classificação]:[Peso]],2,FALSE)</f>
        <v>7501.1618513035546</v>
      </c>
      <c r="L131" s="13">
        <f>IF(OR(Tabela12[[#This Row],[Vai poder passar?]]="Não",Tabela12[[#This Row],[Via Alagada?]]="Sim",Tabela12[[#This Row],[Criminalidade]]="Via bloqueada"), "Ignorar rota", Tabela12[[#This Row],[Peso]])</f>
        <v>7501.1618513035546</v>
      </c>
    </row>
    <row r="132" spans="4:12" ht="15" x14ac:dyDescent="0.2">
      <c r="D132" s="6" t="s">
        <v>62</v>
      </c>
      <c r="E132" s="6" t="s">
        <v>51</v>
      </c>
      <c r="F132" s="6">
        <f>Vértices!C127</f>
        <v>1537.9801159539641</v>
      </c>
      <c r="G132" s="17" t="str">
        <f>IF($C$2="Caminhão",Vértices!F127,"Sim")</f>
        <v>Não</v>
      </c>
      <c r="H132" s="13" t="str">
        <f>IF(OR($C$3="Sem chuva",$I132=0), "Não",IF($D$3&gt;=Tabela12[[#This Row],[Chuva]],"Sim","Não"))</f>
        <v>Sim</v>
      </c>
      <c r="I132" s="13">
        <f>VLOOKUP(Vértices!E127,Tabela5[],2,)</f>
        <v>5</v>
      </c>
      <c r="J132" s="13" t="str">
        <f>IF(AND(Vértices!$J127="Sim",OR(Pesos!$D$4="Madrugada",Pesos!$D$4="Noite")),"Via bloqueada", "Via liberada")</f>
        <v>Via liberada</v>
      </c>
      <c r="K132" s="13">
        <f>Tabela12[[#This Row],[Distância (m)]]*((1*VLOOKUP(Vértices!$G127,Tabela7[[Classificação]:[Peso]],2,FALSE)+2*VLOOKUP(Vértices!I127,Tabela9[[Classificação]:[Peso]],2,FALSE)+3*VLOOKUP(Pesos!$C$5,Tabela11[[Classificação]:[Peso]],2,FALSE)+4*VLOOKUP(Vértices!H127,Tabela8[[Classificação]:[Peso]],2,FALSE)+5*VLOOKUP($D$3,Tabela5[[Fator Chuva]:[Peso]],2,FALSE))/15)*VLOOKUP(Vértices!G127,Tabela7[[Classificação]:[Peso]],2,FALSE)*VLOOKUP(Vértices!H127,Tabela8[[Classificação]:[Peso]],2,FALSE)*VLOOKUP(Vértices!I127,Tabela9[[Classificação]:[Peso]],2,FALSE)</f>
        <v>8997.1836783306899</v>
      </c>
      <c r="L13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33" spans="4:12" ht="15" x14ac:dyDescent="0.2">
      <c r="D133" s="9" t="s">
        <v>62</v>
      </c>
      <c r="E133" s="9" t="s">
        <v>90</v>
      </c>
      <c r="F133" s="9">
        <f>Vértices!C128</f>
        <v>6016.6169437826429</v>
      </c>
      <c r="G133" s="17" t="str">
        <f>IF($C$2="Caminhão",Vértices!F128,"Sim")</f>
        <v>Sim</v>
      </c>
      <c r="H133" s="13" t="str">
        <f>IF(OR($C$3="Sem chuva",$I133=0), "Não",IF($D$3&gt;=Tabela12[[#This Row],[Chuva]],"Sim","Não"))</f>
        <v>Sim</v>
      </c>
      <c r="I133" s="13">
        <f>VLOOKUP(Vértices!E128,Tabela5[],2,)</f>
        <v>5</v>
      </c>
      <c r="J133" s="13" t="str">
        <f>IF(AND(Vértices!$J128="Sim",OR(Pesos!$D$4="Madrugada",Pesos!$D$4="Noite")),"Via bloqueada", "Via liberada")</f>
        <v>Via liberada</v>
      </c>
      <c r="K133" s="13">
        <f>Tabela12[[#This Row],[Distância (m)]]*((1*VLOOKUP(Vértices!$G128,Tabela7[[Classificação]:[Peso]],2,FALSE)+2*VLOOKUP(Vértices!I128,Tabela9[[Classificação]:[Peso]],2,FALSE)+3*VLOOKUP(Pesos!$C$5,Tabela11[[Classificação]:[Peso]],2,FALSE)+4*VLOOKUP(Vértices!H128,Tabela8[[Classificação]:[Peso]],2,FALSE)+5*VLOOKUP($D$3,Tabela5[[Fator Chuva]:[Peso]],2,FALSE))/15)*VLOOKUP(Vértices!G128,Tabela7[[Classificação]:[Peso]],2,FALSE)*VLOOKUP(Vértices!H128,Tabela8[[Classificação]:[Peso]],2,FALSE)*VLOOKUP(Vértices!I128,Tabela9[[Classificação]:[Peso]],2,FALSE)</f>
        <v>45726.288772748085</v>
      </c>
      <c r="L13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34" spans="4:12" ht="15" x14ac:dyDescent="0.2">
      <c r="D134" s="6" t="s">
        <v>63</v>
      </c>
      <c r="E134" s="6" t="s">
        <v>50</v>
      </c>
      <c r="F134" s="6">
        <f>Vértices!C129</f>
        <v>666.47687106283865</v>
      </c>
      <c r="G134" s="17" t="str">
        <f>IF($C$2="Caminhão",Vértices!F129,"Sim")</f>
        <v>Sim</v>
      </c>
      <c r="H134" s="13" t="str">
        <f>IF(OR($C$3="Sem chuva",$I134=0), "Não",IF($D$3&gt;=Tabela12[[#This Row],[Chuva]],"Sim","Não"))</f>
        <v>Não</v>
      </c>
      <c r="I134" s="13">
        <f>VLOOKUP(Vértices!E129,Tabela5[],2,)</f>
        <v>0</v>
      </c>
      <c r="J134" s="13" t="str">
        <f>IF(AND(Vértices!$J129="Sim",OR(Pesos!$D$4="Madrugada",Pesos!$D$4="Noite")),"Via bloqueada", "Via liberada")</f>
        <v>Via liberada</v>
      </c>
      <c r="K134" s="13">
        <f>Tabela12[[#This Row],[Distância (m)]]*((1*VLOOKUP(Vértices!$G129,Tabela7[[Classificação]:[Peso]],2,FALSE)+2*VLOOKUP(Vértices!I129,Tabela9[[Classificação]:[Peso]],2,FALSE)+3*VLOOKUP(Pesos!$C$5,Tabela11[[Classificação]:[Peso]],2,FALSE)+4*VLOOKUP(Vértices!H129,Tabela8[[Classificação]:[Peso]],2,FALSE)+5*VLOOKUP($D$3,Tabela5[[Fator Chuva]:[Peso]],2,FALSE))/15)*VLOOKUP(Vértices!G129,Tabela7[[Classificação]:[Peso]],2,FALSE)*VLOOKUP(Vértices!H129,Tabela8[[Classificação]:[Peso]],2,FALSE)*VLOOKUP(Vértices!I129,Tabela9[[Classificação]:[Peso]],2,FALSE)</f>
        <v>3898.8896957176057</v>
      </c>
      <c r="L134" s="13">
        <f>IF(OR(Tabela12[[#This Row],[Vai poder passar?]]="Não",Tabela12[[#This Row],[Via Alagada?]]="Sim",Tabela12[[#This Row],[Criminalidade]]="Via bloqueada"), "Ignorar rota", Tabela12[[#This Row],[Peso]])</f>
        <v>3898.8896957176057</v>
      </c>
    </row>
    <row r="135" spans="4:12" ht="15" x14ac:dyDescent="0.2">
      <c r="D135" s="9" t="s">
        <v>63</v>
      </c>
      <c r="E135" s="9" t="s">
        <v>70</v>
      </c>
      <c r="F135" s="9">
        <f>Vértices!C130</f>
        <v>3367.025951037072</v>
      </c>
      <c r="G135" s="17" t="str">
        <f>IF($C$2="Caminhão",Vértices!F130,"Sim")</f>
        <v>Sim</v>
      </c>
      <c r="H135" s="13" t="str">
        <f>IF(OR($C$3="Sem chuva",$I135=0), "Não",IF($D$3&gt;=Tabela12[[#This Row],[Chuva]],"Sim","Não"))</f>
        <v>Não</v>
      </c>
      <c r="I135" s="13">
        <f>VLOOKUP(Vértices!E130,Tabela5[],2,)</f>
        <v>0</v>
      </c>
      <c r="J135" s="13" t="str">
        <f>IF(AND(Vértices!$J130="Sim",OR(Pesos!$D$4="Madrugada",Pesos!$D$4="Noite")),"Via bloqueada", "Via liberada")</f>
        <v>Via liberada</v>
      </c>
      <c r="K135" s="13">
        <f>Tabela12[[#This Row],[Distância (m)]]*((1*VLOOKUP(Vértices!$G130,Tabela7[[Classificação]:[Peso]],2,FALSE)+2*VLOOKUP(Vértices!I130,Tabela9[[Classificação]:[Peso]],2,FALSE)+3*VLOOKUP(Pesos!$C$5,Tabela11[[Classificação]:[Peso]],2,FALSE)+4*VLOOKUP(Vértices!H130,Tabela8[[Classificação]:[Peso]],2,FALSE)+5*VLOOKUP($D$3,Tabela5[[Fator Chuva]:[Peso]],2,FALSE))/15)*VLOOKUP(Vértices!G130,Tabela7[[Classificação]:[Peso]],2,FALSE)*VLOOKUP(Vértices!H130,Tabela8[[Classificação]:[Peso]],2,FALSE)*VLOOKUP(Vértices!I130,Tabela9[[Classificação]:[Peso]],2,FALSE)</f>
        <v>34231.430502210227</v>
      </c>
      <c r="L135" s="13">
        <f>IF(OR(Tabela12[[#This Row],[Vai poder passar?]]="Não",Tabela12[[#This Row],[Via Alagada?]]="Sim",Tabela12[[#This Row],[Criminalidade]]="Via bloqueada"), "Ignorar rota", Tabela12[[#This Row],[Peso]])</f>
        <v>34231.430502210227</v>
      </c>
    </row>
    <row r="136" spans="4:12" ht="15" x14ac:dyDescent="0.2">
      <c r="D136" s="6" t="s">
        <v>64</v>
      </c>
      <c r="E136" s="6" t="s">
        <v>50</v>
      </c>
      <c r="F136" s="6">
        <f>Vértices!C131</f>
        <v>4545.5404806223751</v>
      </c>
      <c r="G136" s="17" t="str">
        <f>IF($C$2="Caminhão",Vértices!F131,"Sim")</f>
        <v>Sim</v>
      </c>
      <c r="H136" s="13" t="str">
        <f>IF(OR($C$3="Sem chuva",$I136=0), "Não",IF($D$3&gt;=Tabela12[[#This Row],[Chuva]],"Sim","Não"))</f>
        <v>Não</v>
      </c>
      <c r="I136" s="13">
        <f>VLOOKUP(Vértices!E131,Tabela5[],2,)</f>
        <v>0</v>
      </c>
      <c r="J136" s="13" t="str">
        <f>IF(AND(Vértices!$J131="Sim",OR(Pesos!$D$4="Madrugada",Pesos!$D$4="Noite")),"Via bloqueada", "Via liberada")</f>
        <v>Via liberada</v>
      </c>
      <c r="K136" s="13">
        <f>Tabela12[[#This Row],[Distância (m)]]*((1*VLOOKUP(Vértices!$G131,Tabela7[[Classificação]:[Peso]],2,FALSE)+2*VLOOKUP(Vértices!I131,Tabela9[[Classificação]:[Peso]],2,FALSE)+3*VLOOKUP(Pesos!$C$5,Tabela11[[Classificação]:[Peso]],2,FALSE)+4*VLOOKUP(Vértices!H131,Tabela8[[Classificação]:[Peso]],2,FALSE)+5*VLOOKUP($D$3,Tabela5[[Fator Chuva]:[Peso]],2,FALSE))/15)*VLOOKUP(Vértices!G131,Tabela7[[Classificação]:[Peso]],2,FALSE)*VLOOKUP(Vértices!H131,Tabela8[[Classificação]:[Peso]],2,FALSE)*VLOOKUP(Vértices!I131,Tabela9[[Classificação]:[Peso]],2,FALSE)</f>
        <v>70455.877449646825</v>
      </c>
      <c r="L136" s="13">
        <f>IF(OR(Tabela12[[#This Row],[Vai poder passar?]]="Não",Tabela12[[#This Row],[Via Alagada?]]="Sim",Tabela12[[#This Row],[Criminalidade]]="Via bloqueada"), "Ignorar rota", Tabela12[[#This Row],[Peso]])</f>
        <v>70455.877449646825</v>
      </c>
    </row>
    <row r="137" spans="4:12" ht="15" x14ac:dyDescent="0.2">
      <c r="D137" s="9" t="s">
        <v>64</v>
      </c>
      <c r="E137" s="9" t="s">
        <v>104</v>
      </c>
      <c r="F137" s="9">
        <f>Vértices!C132</f>
        <v>1113.475408847718</v>
      </c>
      <c r="G137" s="17" t="str">
        <f>IF($C$2="Caminhão",Vértices!F132,"Sim")</f>
        <v>Sim</v>
      </c>
      <c r="H137" s="13" t="str">
        <f>IF(OR($C$3="Sem chuva",$I137=0), "Não",IF($D$3&gt;=Tabela12[[#This Row],[Chuva]],"Sim","Não"))</f>
        <v>Não</v>
      </c>
      <c r="I137" s="13">
        <f>VLOOKUP(Vértices!E132,Tabela5[],2,)</f>
        <v>0</v>
      </c>
      <c r="J137" s="13" t="str">
        <f>IF(AND(Vértices!$J132="Sim",OR(Pesos!$D$4="Madrugada",Pesos!$D$4="Noite")),"Via bloqueada", "Via liberada")</f>
        <v>Via liberada</v>
      </c>
      <c r="K137" s="13">
        <f>Tabela12[[#This Row],[Distância (m)]]*((1*VLOOKUP(Vértices!$G132,Tabela7[[Classificação]:[Peso]],2,FALSE)+2*VLOOKUP(Vértices!I132,Tabela9[[Classificação]:[Peso]],2,FALSE)+3*VLOOKUP(Pesos!$C$5,Tabela11[[Classificação]:[Peso]],2,FALSE)+4*VLOOKUP(Vértices!H132,Tabela8[[Classificação]:[Peso]],2,FALSE)+5*VLOOKUP($D$3,Tabela5[[Fator Chuva]:[Peso]],2,FALSE))/15)*VLOOKUP(Vértices!G132,Tabela7[[Classificação]:[Peso]],2,FALSE)*VLOOKUP(Vértices!H132,Tabela8[[Classificação]:[Peso]],2,FALSE)*VLOOKUP(Vértices!I132,Tabela9[[Classificação]:[Peso]],2,FALSE)</f>
        <v>11320.333323285131</v>
      </c>
      <c r="L137" s="13">
        <f>IF(OR(Tabela12[[#This Row],[Vai poder passar?]]="Não",Tabela12[[#This Row],[Via Alagada?]]="Sim",Tabela12[[#This Row],[Criminalidade]]="Via bloqueada"), "Ignorar rota", Tabela12[[#This Row],[Peso]])</f>
        <v>11320.333323285131</v>
      </c>
    </row>
    <row r="138" spans="4:12" ht="15" x14ac:dyDescent="0.2">
      <c r="D138" s="6" t="s">
        <v>65</v>
      </c>
      <c r="E138" s="6" t="s">
        <v>71</v>
      </c>
      <c r="F138" s="6">
        <f>Vértices!C133</f>
        <v>667.08500157521291</v>
      </c>
      <c r="G138" s="17" t="str">
        <f>IF($C$2="Caminhão",Vértices!F133,"Sim")</f>
        <v>Sim</v>
      </c>
      <c r="H138" s="13" t="str">
        <f>IF(OR($C$3="Sem chuva",$I138=0), "Não",IF($D$3&gt;=Tabela12[[#This Row],[Chuva]],"Sim","Não"))</f>
        <v>Sim</v>
      </c>
      <c r="I138" s="13">
        <f>VLOOKUP(Vértices!E133,Tabela5[],2,)</f>
        <v>5</v>
      </c>
      <c r="J138" s="13" t="str">
        <f>IF(AND(Vértices!$J133="Sim",OR(Pesos!$D$4="Madrugada",Pesos!$D$4="Noite")),"Via bloqueada", "Via liberada")</f>
        <v>Via liberada</v>
      </c>
      <c r="K138" s="13">
        <f>Tabela12[[#This Row],[Distância (m)]]*((1*VLOOKUP(Vértices!$G133,Tabela7[[Classificação]:[Peso]],2,FALSE)+2*VLOOKUP(Vértices!I133,Tabela9[[Classificação]:[Peso]],2,FALSE)+3*VLOOKUP(Pesos!$C$5,Tabela11[[Classificação]:[Peso]],2,FALSE)+4*VLOOKUP(Vértices!H133,Tabela8[[Classificação]:[Peso]],2,FALSE)+5*VLOOKUP($D$3,Tabela5[[Fator Chuva]:[Peso]],2,FALSE))/15)*VLOOKUP(Vértices!G133,Tabela7[[Classificação]:[Peso]],2,FALSE)*VLOOKUP(Vértices!H133,Tabela8[[Classificação]:[Peso]],2,FALSE)*VLOOKUP(Vértices!I133,Tabela9[[Classificação]:[Peso]],2,FALSE)</f>
        <v>6782.0308493479979</v>
      </c>
      <c r="L13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39" spans="4:12" ht="15" x14ac:dyDescent="0.2">
      <c r="D139" s="9" t="s">
        <v>65</v>
      </c>
      <c r="E139" s="9" t="s">
        <v>26</v>
      </c>
      <c r="F139" s="9">
        <f>Vértices!C134</f>
        <v>820.49040374536617</v>
      </c>
      <c r="G139" s="17" t="str">
        <f>IF($C$2="Caminhão",Vértices!F134,"Sim")</f>
        <v>Sim</v>
      </c>
      <c r="H139" s="13" t="str">
        <f>IF(OR($C$3="Sem chuva",$I139=0), "Não",IF($D$3&gt;=Tabela12[[#This Row],[Chuva]],"Sim","Não"))</f>
        <v>Sim</v>
      </c>
      <c r="I139" s="13">
        <f>VLOOKUP(Vértices!E134,Tabela5[],2,)</f>
        <v>5</v>
      </c>
      <c r="J139" s="13" t="str">
        <f>IF(AND(Vértices!$J134="Sim",OR(Pesos!$D$4="Madrugada",Pesos!$D$4="Noite")),"Via bloqueada", "Via liberada")</f>
        <v>Via liberada</v>
      </c>
      <c r="K139" s="13">
        <f>Tabela12[[#This Row],[Distância (m)]]*((1*VLOOKUP(Vértices!$G134,Tabela7[[Classificação]:[Peso]],2,FALSE)+2*VLOOKUP(Vértices!I134,Tabela9[[Classificação]:[Peso]],2,FALSE)+3*VLOOKUP(Pesos!$C$5,Tabela11[[Classificação]:[Peso]],2,FALSE)+4*VLOOKUP(Vértices!H134,Tabela8[[Classificação]:[Peso]],2,FALSE)+5*VLOOKUP($D$3,Tabela5[[Fator Chuva]:[Peso]],2,FALSE))/15)*VLOOKUP(Vértices!G134,Tabela7[[Classificação]:[Peso]],2,FALSE)*VLOOKUP(Vértices!H134,Tabela8[[Classificação]:[Peso]],2,FALSE)*VLOOKUP(Vértices!I134,Tabela9[[Classificação]:[Peso]],2,FALSE)</f>
        <v>8341.6524380778883</v>
      </c>
      <c r="L13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0" spans="4:12" ht="15" x14ac:dyDescent="0.2">
      <c r="D140" s="6" t="s">
        <v>66</v>
      </c>
      <c r="E140" s="6" t="s">
        <v>14</v>
      </c>
      <c r="F140" s="6">
        <f>Vértices!C135</f>
        <v>2443.6437705400804</v>
      </c>
      <c r="G140" s="17" t="str">
        <f>IF($C$2="Caminhão",Vértices!F135,"Sim")</f>
        <v>Sim</v>
      </c>
      <c r="H140" s="13" t="str">
        <f>IF(OR($C$3="Sem chuva",$I140=0), "Não",IF($D$3&gt;=Tabela12[[#This Row],[Chuva]],"Sim","Não"))</f>
        <v>Sim</v>
      </c>
      <c r="I140" s="13">
        <f>VLOOKUP(Vértices!E135,Tabela5[],2,)</f>
        <v>5</v>
      </c>
      <c r="J140" s="13" t="str">
        <f>IF(AND(Vértices!$J135="Sim",OR(Pesos!$D$4="Madrugada",Pesos!$D$4="Noite")),"Via bloqueada", "Via liberada")</f>
        <v>Via liberada</v>
      </c>
      <c r="K140" s="13">
        <f>Tabela12[[#This Row],[Distância (m)]]*((1*VLOOKUP(Vértices!$G135,Tabela7[[Classificação]:[Peso]],2,FALSE)+2*VLOOKUP(Vértices!I135,Tabela9[[Classificação]:[Peso]],2,FALSE)+3*VLOOKUP(Pesos!$C$5,Tabela11[[Classificação]:[Peso]],2,FALSE)+4*VLOOKUP(Vértices!H135,Tabela8[[Classificação]:[Peso]],2,FALSE)+5*VLOOKUP($D$3,Tabela5[[Fator Chuva]:[Peso]],2,FALSE))/15)*VLOOKUP(Vértices!G135,Tabela7[[Classificação]:[Peso]],2,FALSE)*VLOOKUP(Vértices!H135,Tabela8[[Classificação]:[Peso]],2,FALSE)*VLOOKUP(Vértices!I135,Tabela9[[Classificação]:[Peso]],2,FALSE)</f>
        <v>24843.71166715748</v>
      </c>
      <c r="L14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1" spans="4:12" ht="15" x14ac:dyDescent="0.2">
      <c r="D141" s="9" t="s">
        <v>66</v>
      </c>
      <c r="E141" s="9" t="s">
        <v>25</v>
      </c>
      <c r="F141" s="9">
        <f>Vértices!C136</f>
        <v>1623.4171651619981</v>
      </c>
      <c r="G141" s="17" t="str">
        <f>IF($C$2="Caminhão",Vértices!F136,"Sim")</f>
        <v>Sim</v>
      </c>
      <c r="H141" s="13" t="str">
        <f>IF(OR($C$3="Sem chuva",$I141=0), "Não",IF($D$3&gt;=Tabela12[[#This Row],[Chuva]],"Sim","Não"))</f>
        <v>Sim</v>
      </c>
      <c r="I141" s="13">
        <f>VLOOKUP(Vértices!E136,Tabela5[],2,)</f>
        <v>5</v>
      </c>
      <c r="J141" s="13" t="str">
        <f>IF(AND(Vértices!$J136="Sim",OR(Pesos!$D$4="Madrugada",Pesos!$D$4="Noite")),"Via bloqueada", "Via liberada")</f>
        <v>Via liberada</v>
      </c>
      <c r="K141" s="13">
        <f>Tabela12[[#This Row],[Distância (m)]]*((1*VLOOKUP(Vértices!$G136,Tabela7[[Classificação]:[Peso]],2,FALSE)+2*VLOOKUP(Vértices!I136,Tabela9[[Classificação]:[Peso]],2,FALSE)+3*VLOOKUP(Pesos!$C$5,Tabela11[[Classificação]:[Peso]],2,FALSE)+4*VLOOKUP(Vértices!H136,Tabela8[[Classificação]:[Peso]],2,FALSE)+5*VLOOKUP($D$3,Tabela5[[Fator Chuva]:[Peso]],2,FALSE))/15)*VLOOKUP(Vértices!G136,Tabela7[[Classificação]:[Peso]],2,FALSE)*VLOOKUP(Vértices!H136,Tabela8[[Classificação]:[Peso]],2,FALSE)*VLOOKUP(Vértices!I136,Tabela9[[Classificação]:[Peso]],2,FALSE)</f>
        <v>16504.741179146979</v>
      </c>
      <c r="L14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2" spans="4:12" ht="15" x14ac:dyDescent="0.2">
      <c r="D142" s="6" t="s">
        <v>67</v>
      </c>
      <c r="E142" s="6" t="s">
        <v>24</v>
      </c>
      <c r="F142" s="6">
        <f>Vértices!C137</f>
        <v>4243.0830161531794</v>
      </c>
      <c r="G142" s="17" t="str">
        <f>IF($C$2="Caminhão",Vértices!F137,"Sim")</f>
        <v>Não</v>
      </c>
      <c r="H142" s="13" t="str">
        <f>IF(OR($C$3="Sem chuva",$I142=0), "Não",IF($D$3&gt;=Tabela12[[#This Row],[Chuva]],"Sim","Não"))</f>
        <v>Não</v>
      </c>
      <c r="I142" s="13">
        <f>VLOOKUP(Vértices!E137,Tabela5[],2,)</f>
        <v>0</v>
      </c>
      <c r="J142" s="13" t="str">
        <f>IF(AND(Vértices!$J137="Sim",OR(Pesos!$D$4="Madrugada",Pesos!$D$4="Noite")),"Via bloqueada", "Via liberada")</f>
        <v>Via liberada</v>
      </c>
      <c r="K142" s="13">
        <f>Tabela12[[#This Row],[Distância (m)]]*((1*VLOOKUP(Vértices!$G137,Tabela7[[Classificação]:[Peso]],2,FALSE)+2*VLOOKUP(Vértices!I137,Tabela9[[Classificação]:[Peso]],2,FALSE)+3*VLOOKUP(Pesos!$C$5,Tabela11[[Classificação]:[Peso]],2,FALSE)+4*VLOOKUP(Vértices!H137,Tabela8[[Classificação]:[Peso]],2,FALSE)+5*VLOOKUP($D$3,Tabela5[[Fator Chuva]:[Peso]],2,FALSE))/15)*VLOOKUP(Vértices!G137,Tabela7[[Classificação]:[Peso]],2,FALSE)*VLOOKUP(Vértices!H137,Tabela8[[Classificação]:[Peso]],2,FALSE)*VLOOKUP(Vértices!I137,Tabela9[[Classificação]:[Peso]],2,FALSE)</f>
        <v>24822.0356444961</v>
      </c>
      <c r="L14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3" spans="4:12" ht="15" x14ac:dyDescent="0.2">
      <c r="D143" s="9" t="s">
        <v>67</v>
      </c>
      <c r="E143" s="9" t="s">
        <v>39</v>
      </c>
      <c r="F143" s="9">
        <f>Vértices!C138</f>
        <v>3862.0439641943326</v>
      </c>
      <c r="G143" s="17" t="str">
        <f>IF($C$2="Caminhão",Vértices!F138,"Sim")</f>
        <v>Não</v>
      </c>
      <c r="H143" s="13" t="str">
        <f>IF(OR($C$3="Sem chuva",$I143=0), "Não",IF($D$3&gt;=Tabela12[[#This Row],[Chuva]],"Sim","Não"))</f>
        <v>Não</v>
      </c>
      <c r="I143" s="13">
        <f>VLOOKUP(Vértices!E138,Tabela5[],2,)</f>
        <v>0</v>
      </c>
      <c r="J143" s="13" t="str">
        <f>IF(AND(Vértices!$J138="Sim",OR(Pesos!$D$4="Madrugada",Pesos!$D$4="Noite")),"Via bloqueada", "Via liberada")</f>
        <v>Via liberada</v>
      </c>
      <c r="K143" s="13">
        <f>Tabela12[[#This Row],[Distância (m)]]*((1*VLOOKUP(Vértices!$G138,Tabela7[[Classificação]:[Peso]],2,FALSE)+2*VLOOKUP(Vértices!I138,Tabela9[[Classificação]:[Peso]],2,FALSE)+3*VLOOKUP(Pesos!$C$5,Tabela11[[Classificação]:[Peso]],2,FALSE)+4*VLOOKUP(Vértices!H138,Tabela8[[Classificação]:[Peso]],2,FALSE)+5*VLOOKUP($D$3,Tabela5[[Fator Chuva]:[Peso]],2,FALSE))/15)*VLOOKUP(Vértices!G138,Tabela7[[Classificação]:[Peso]],2,FALSE)*VLOOKUP(Vértices!H138,Tabela8[[Classificação]:[Peso]],2,FALSE)*VLOOKUP(Vértices!I138,Tabela9[[Classificação]:[Peso]],2,FALSE)</f>
        <v>22592.957190536847</v>
      </c>
      <c r="L14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4" spans="4:12" ht="15" x14ac:dyDescent="0.2">
      <c r="D144" s="6" t="s">
        <v>68</v>
      </c>
      <c r="E144" s="6" t="s">
        <v>10</v>
      </c>
      <c r="F144" s="6">
        <f>Vértices!C139</f>
        <v>66631.7364186911</v>
      </c>
      <c r="G144" s="17" t="str">
        <f>IF($C$2="Caminhão",Vértices!F139,"Sim")</f>
        <v>Sim</v>
      </c>
      <c r="H144" s="13" t="str">
        <f>IF(OR($C$3="Sem chuva",$I144=0), "Não",IF($D$3&gt;=Tabela12[[#This Row],[Chuva]],"Sim","Não"))</f>
        <v>Sim</v>
      </c>
      <c r="I144" s="13">
        <f>VLOOKUP(Vértices!E139,Tabela5[],2,)</f>
        <v>5</v>
      </c>
      <c r="J144" s="13" t="str">
        <f>IF(AND(Vértices!$J139="Sim",OR(Pesos!$D$4="Madrugada",Pesos!$D$4="Noite")),"Via bloqueada", "Via liberada")</f>
        <v>Via liberada</v>
      </c>
      <c r="K144" s="13">
        <f>Tabela12[[#This Row],[Distância (m)]]*((1*VLOOKUP(Vértices!$G139,Tabela7[[Classificação]:[Peso]],2,FALSE)+2*VLOOKUP(Vértices!I139,Tabela9[[Classificação]:[Peso]],2,FALSE)+3*VLOOKUP(Pesos!$C$5,Tabela11[[Classificação]:[Peso]],2,FALSE)+4*VLOOKUP(Vértices!H139,Tabela8[[Classificação]:[Peso]],2,FALSE)+5*VLOOKUP($D$3,Tabela5[[Fator Chuva]:[Peso]],2,FALSE))/15)*VLOOKUP(Vértices!G139,Tabela7[[Classificação]:[Peso]],2,FALSE)*VLOOKUP(Vértices!H139,Tabela8[[Classificação]:[Peso]],2,FALSE)*VLOOKUP(Vértices!I139,Tabela9[[Classificação]:[Peso]],2,FALSE)</f>
        <v>559706.58591700532</v>
      </c>
      <c r="L14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5" spans="4:12" ht="15" x14ac:dyDescent="0.2">
      <c r="D145" s="9" t="s">
        <v>68</v>
      </c>
      <c r="E145" s="9" t="s">
        <v>31</v>
      </c>
      <c r="F145" s="9">
        <f>Vértices!C140</f>
        <v>31733.457015862015</v>
      </c>
      <c r="G145" s="17" t="str">
        <f>IF($C$2="Caminhão",Vértices!F140,"Sim")</f>
        <v>Sim</v>
      </c>
      <c r="H145" s="13" t="str">
        <f>IF(OR($C$3="Sem chuva",$I145=0), "Não",IF($D$3&gt;=Tabela12[[#This Row],[Chuva]],"Sim","Não"))</f>
        <v>Sim</v>
      </c>
      <c r="I145" s="13">
        <f>VLOOKUP(Vértices!E140,Tabela5[],2,)</f>
        <v>5</v>
      </c>
      <c r="J145" s="13" t="str">
        <f>IF(AND(Vértices!$J140="Sim",OR(Pesos!$D$4="Madrugada",Pesos!$D$4="Noite")),"Via bloqueada", "Via liberada")</f>
        <v>Via liberada</v>
      </c>
      <c r="K145" s="13">
        <f>Tabela12[[#This Row],[Distância (m)]]*((1*VLOOKUP(Vértices!$G140,Tabela7[[Classificação]:[Peso]],2,FALSE)+2*VLOOKUP(Vértices!I140,Tabela9[[Classificação]:[Peso]],2,FALSE)+3*VLOOKUP(Pesos!$C$5,Tabela11[[Classificação]:[Peso]],2,FALSE)+4*VLOOKUP(Vértices!H140,Tabela8[[Classificação]:[Peso]],2,FALSE)+5*VLOOKUP($D$3,Tabela5[[Fator Chuva]:[Peso]],2,FALSE))/15)*VLOOKUP(Vértices!G140,Tabela7[[Classificação]:[Peso]],2,FALSE)*VLOOKUP(Vértices!H140,Tabela8[[Classificação]:[Peso]],2,FALSE)*VLOOKUP(Vértices!I140,Tabela9[[Classificação]:[Peso]],2,FALSE)</f>
        <v>185640.72354279278</v>
      </c>
      <c r="L14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6" spans="4:12" ht="15" x14ac:dyDescent="0.2">
      <c r="D146" s="6" t="s">
        <v>68</v>
      </c>
      <c r="E146" s="6" t="s">
        <v>40</v>
      </c>
      <c r="F146" s="6">
        <f>Vértices!C141</f>
        <v>67770.704794767982</v>
      </c>
      <c r="G146" s="17" t="str">
        <f>IF($C$2="Caminhão",Vértices!F141,"Sim")</f>
        <v>Sim</v>
      </c>
      <c r="H146" s="13" t="str">
        <f>IF(OR($C$3="Sem chuva",$I146=0), "Não",IF($D$3&gt;=Tabela12[[#This Row],[Chuva]],"Sim","Não"))</f>
        <v>Sim</v>
      </c>
      <c r="I146" s="13">
        <f>VLOOKUP(Vértices!E141,Tabela5[],2,)</f>
        <v>5</v>
      </c>
      <c r="J146" s="13" t="str">
        <f>IF(AND(Vértices!$J141="Sim",OR(Pesos!$D$4="Madrugada",Pesos!$D$4="Noite")),"Via bloqueada", "Via liberada")</f>
        <v>Via liberada</v>
      </c>
      <c r="K146" s="13">
        <f>Tabela12[[#This Row],[Distância (m)]]*((1*VLOOKUP(Vértices!$G141,Tabela7[[Classificação]:[Peso]],2,FALSE)+2*VLOOKUP(Vértices!I141,Tabela9[[Classificação]:[Peso]],2,FALSE)+3*VLOOKUP(Pesos!$C$5,Tabela11[[Classificação]:[Peso]],2,FALSE)+4*VLOOKUP(Vértices!H141,Tabela8[[Classificação]:[Peso]],2,FALSE)+5*VLOOKUP($D$3,Tabela5[[Fator Chuva]:[Peso]],2,FALSE))/15)*VLOOKUP(Vértices!G141,Tabela7[[Classificação]:[Peso]],2,FALSE)*VLOOKUP(Vértices!H141,Tabela8[[Classificação]:[Peso]],2,FALSE)*VLOOKUP(Vértices!I141,Tabela9[[Classificação]:[Peso]],2,FALSE)</f>
        <v>569273.92027605104</v>
      </c>
      <c r="L14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7" spans="4:12" ht="15" x14ac:dyDescent="0.2">
      <c r="D147" s="9" t="s">
        <v>68</v>
      </c>
      <c r="E147" s="9" t="s">
        <v>78</v>
      </c>
      <c r="F147" s="9">
        <f>Vértices!C142</f>
        <v>48945.144297818573</v>
      </c>
      <c r="G147" s="17" t="str">
        <f>IF($C$2="Caminhão",Vértices!F142,"Sim")</f>
        <v>Não</v>
      </c>
      <c r="H147" s="13" t="str">
        <f>IF(OR($C$3="Sem chuva",$I147=0), "Não",IF($D$3&gt;=Tabela12[[#This Row],[Chuva]],"Sim","Não"))</f>
        <v>Sim</v>
      </c>
      <c r="I147" s="13">
        <f>VLOOKUP(Vértices!E142,Tabela5[],2,)</f>
        <v>5</v>
      </c>
      <c r="J147" s="13" t="str">
        <f>IF(AND(Vértices!$J142="Sim",OR(Pesos!$D$4="Madrugada",Pesos!$D$4="Noite")),"Via bloqueada", "Via liberada")</f>
        <v>Via bloqueada</v>
      </c>
      <c r="K147" s="13">
        <f>Tabela12[[#This Row],[Distância (m)]]*((1*VLOOKUP(Vértices!$G142,Tabela7[[Classificação]:[Peso]],2,FALSE)+2*VLOOKUP(Vértices!I142,Tabela9[[Classificação]:[Peso]],2,FALSE)+3*VLOOKUP(Pesos!$C$5,Tabela11[[Classificação]:[Peso]],2,FALSE)+4*VLOOKUP(Vértices!H142,Tabela8[[Classificação]:[Peso]],2,FALSE)+5*VLOOKUP($D$3,Tabela5[[Fator Chuva]:[Peso]],2,FALSE))/15)*VLOOKUP(Vértices!G142,Tabela7[[Classificação]:[Peso]],2,FALSE)*VLOOKUP(Vértices!H142,Tabela8[[Classificação]:[Peso]],2,FALSE)*VLOOKUP(Vértices!I142,Tabela9[[Classificação]:[Peso]],2,FALSE)</f>
        <v>112573.83188498272</v>
      </c>
      <c r="L14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48" spans="4:12" ht="15" x14ac:dyDescent="0.2">
      <c r="D148" s="6" t="s">
        <v>69</v>
      </c>
      <c r="E148" s="6" t="s">
        <v>81</v>
      </c>
      <c r="F148" s="6">
        <f>Vértices!C143</f>
        <v>2260.3385864039569</v>
      </c>
      <c r="G148" s="17" t="str">
        <f>IF($C$2="Caminhão",Vértices!F143,"Sim")</f>
        <v>Sim</v>
      </c>
      <c r="H148" s="13" t="str">
        <f>IF(OR($C$3="Sem chuva",$I148=0), "Não",IF($D$3&gt;=Tabela12[[#This Row],[Chuva]],"Sim","Não"))</f>
        <v>Não</v>
      </c>
      <c r="I148" s="13">
        <f>VLOOKUP(Vértices!E143,Tabela5[],2,)</f>
        <v>0</v>
      </c>
      <c r="J148" s="13" t="str">
        <f>IF(AND(Vértices!$J143="Sim",OR(Pesos!$D$4="Madrugada",Pesos!$D$4="Noite")),"Via bloqueada", "Via liberada")</f>
        <v>Via liberada</v>
      </c>
      <c r="K148" s="13">
        <f>Tabela12[[#This Row],[Distância (m)]]*((1*VLOOKUP(Vértices!$G143,Tabela7[[Classificação]:[Peso]],2,FALSE)+2*VLOOKUP(Vértices!I143,Tabela9[[Classificação]:[Peso]],2,FALSE)+3*VLOOKUP(Pesos!$C$5,Tabela11[[Classificação]:[Peso]],2,FALSE)+4*VLOOKUP(Vértices!H143,Tabela8[[Classificação]:[Peso]],2,FALSE)+5*VLOOKUP($D$3,Tabela5[[Fator Chuva]:[Peso]],2,FALSE))/15)*VLOOKUP(Vértices!G143,Tabela7[[Classificação]:[Peso]],2,FALSE)*VLOOKUP(Vértices!H143,Tabela8[[Classificação]:[Peso]],2,FALSE)*VLOOKUP(Vértices!I143,Tabela9[[Classificação]:[Peso]],2,FALSE)</f>
        <v>4238.1348495074199</v>
      </c>
      <c r="L148" s="13">
        <f>IF(OR(Tabela12[[#This Row],[Vai poder passar?]]="Não",Tabela12[[#This Row],[Via Alagada?]]="Sim",Tabela12[[#This Row],[Criminalidade]]="Via bloqueada"), "Ignorar rota", Tabela12[[#This Row],[Peso]])</f>
        <v>4238.1348495074199</v>
      </c>
    </row>
    <row r="149" spans="4:12" ht="15" x14ac:dyDescent="0.2">
      <c r="D149" s="9" t="s">
        <v>70</v>
      </c>
      <c r="E149" s="9" t="s">
        <v>28</v>
      </c>
      <c r="F149" s="9">
        <f>Vértices!C144</f>
        <v>11233.071051961189</v>
      </c>
      <c r="G149" s="17" t="str">
        <f>IF($C$2="Caminhão",Vértices!F144,"Sim")</f>
        <v>Sim</v>
      </c>
      <c r="H149" s="13" t="str">
        <f>IF(OR($C$3="Sem chuva",$I149=0), "Não",IF($D$3&gt;=Tabela12[[#This Row],[Chuva]],"Sim","Não"))</f>
        <v>Não</v>
      </c>
      <c r="I149" s="13">
        <f>VLOOKUP(Vértices!E144,Tabela5[],2,)</f>
        <v>0</v>
      </c>
      <c r="J149" s="13" t="str">
        <f>IF(AND(Vértices!$J144="Sim",OR(Pesos!$D$4="Madrugada",Pesos!$D$4="Noite")),"Via bloqueada", "Via liberada")</f>
        <v>Via liberada</v>
      </c>
      <c r="K149" s="13">
        <f>Tabela12[[#This Row],[Distância (m)]]*((1*VLOOKUP(Vértices!$G144,Tabela7[[Classificação]:[Peso]],2,FALSE)+2*VLOOKUP(Vértices!I144,Tabela9[[Classificação]:[Peso]],2,FALSE)+3*VLOOKUP(Pesos!$C$5,Tabela11[[Classificação]:[Peso]],2,FALSE)+4*VLOOKUP(Vértices!H144,Tabela8[[Classificação]:[Peso]],2,FALSE)+5*VLOOKUP($D$3,Tabela5[[Fator Chuva]:[Peso]],2,FALSE))/15)*VLOOKUP(Vértices!G144,Tabela7[[Classificação]:[Peso]],2,FALSE)*VLOOKUP(Vértices!H144,Tabela8[[Classificação]:[Peso]],2,FALSE)*VLOOKUP(Vértices!I144,Tabela9[[Classificação]:[Peso]],2,FALSE)</f>
        <v>114202.8890282721</v>
      </c>
      <c r="L149" s="13">
        <f>IF(OR(Tabela12[[#This Row],[Vai poder passar?]]="Não",Tabela12[[#This Row],[Via Alagada?]]="Sim",Tabela12[[#This Row],[Criminalidade]]="Via bloqueada"), "Ignorar rota", Tabela12[[#This Row],[Peso]])</f>
        <v>114202.8890282721</v>
      </c>
    </row>
    <row r="150" spans="4:12" ht="15" x14ac:dyDescent="0.2">
      <c r="D150" s="6" t="s">
        <v>71</v>
      </c>
      <c r="E150" s="6" t="s">
        <v>101</v>
      </c>
      <c r="F150" s="6">
        <f>Vértices!C145</f>
        <v>13688.037475608025</v>
      </c>
      <c r="G150" s="17" t="str">
        <f>IF($C$2="Caminhão",Vértices!F145,"Sim")</f>
        <v>Sim</v>
      </c>
      <c r="H150" s="13" t="str">
        <f>IF(OR($C$3="Sem chuva",$I150=0), "Não",IF($D$3&gt;=Tabela12[[#This Row],[Chuva]],"Sim","Não"))</f>
        <v>Sim</v>
      </c>
      <c r="I150" s="13">
        <f>VLOOKUP(Vértices!E145,Tabela5[],2,)</f>
        <v>5</v>
      </c>
      <c r="J150" s="13" t="str">
        <f>IF(AND(Vértices!$J145="Sim",OR(Pesos!$D$4="Madrugada",Pesos!$D$4="Noite")),"Via bloqueada", "Via liberada")</f>
        <v>Via liberada</v>
      </c>
      <c r="K150" s="13">
        <f>Tabela12[[#This Row],[Distância (m)]]*((1*VLOOKUP(Vértices!$G145,Tabela7[[Classificação]:[Peso]],2,FALSE)+2*VLOOKUP(Vértices!I145,Tabela9[[Classificação]:[Peso]],2,FALSE)+3*VLOOKUP(Pesos!$C$5,Tabela11[[Classificação]:[Peso]],2,FALSE)+4*VLOOKUP(Vértices!H145,Tabela8[[Classificação]:[Peso]],2,FALSE)+5*VLOOKUP($D$3,Tabela5[[Fator Chuva]:[Peso]],2,FALSE))/15)*VLOOKUP(Vértices!G145,Tabela7[[Classificação]:[Peso]],2,FALSE)*VLOOKUP(Vértices!H145,Tabela8[[Classificação]:[Peso]],2,FALSE)*VLOOKUP(Vértices!I145,Tabela9[[Classificação]:[Peso]],2,FALSE)</f>
        <v>139161.71433534825</v>
      </c>
      <c r="L15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51" spans="4:12" ht="15" x14ac:dyDescent="0.2">
      <c r="D151" s="9" t="s">
        <v>72</v>
      </c>
      <c r="E151" s="9" t="s">
        <v>35</v>
      </c>
      <c r="F151" s="9">
        <f>Vértices!C146</f>
        <v>1589.3069015872893</v>
      </c>
      <c r="G151" s="17" t="str">
        <f>IF($C$2="Caminhão",Vértices!F146,"Sim")</f>
        <v>Não</v>
      </c>
      <c r="H151" s="13" t="str">
        <f>IF(OR($C$3="Sem chuva",$I151=0), "Não",IF($D$3&gt;=Tabela12[[#This Row],[Chuva]],"Sim","Não"))</f>
        <v>Não</v>
      </c>
      <c r="I151" s="13">
        <f>VLOOKUP(Vértices!E146,Tabela5[],2,)</f>
        <v>0</v>
      </c>
      <c r="J151" s="13" t="str">
        <f>IF(AND(Vértices!$J146="Sim",OR(Pesos!$D$4="Madrugada",Pesos!$D$4="Noite")),"Via bloqueada", "Via liberada")</f>
        <v>Via liberada</v>
      </c>
      <c r="K151" s="13">
        <f>Tabela12[[#This Row],[Distância (m)]]*((1*VLOOKUP(Vértices!$G146,Tabela7[[Classificação]:[Peso]],2,FALSE)+2*VLOOKUP(Vértices!I146,Tabela9[[Classificação]:[Peso]],2,FALSE)+3*VLOOKUP(Pesos!$C$5,Tabela11[[Classificação]:[Peso]],2,FALSE)+4*VLOOKUP(Vértices!H146,Tabela8[[Classificação]:[Peso]],2,FALSE)+5*VLOOKUP($D$3,Tabela5[[Fator Chuva]:[Peso]],2,FALSE))/15)*VLOOKUP(Vértices!G146,Tabela7[[Classificação]:[Peso]],2,FALSE)*VLOOKUP(Vértices!H146,Tabela8[[Classificação]:[Peso]],2,FALSE)*VLOOKUP(Vértices!I146,Tabela9[[Classificação]:[Peso]],2,FALSE)</f>
        <v>9297.4453742856422</v>
      </c>
      <c r="L15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52" spans="4:12" ht="15" x14ac:dyDescent="0.2">
      <c r="D152" s="6" t="s">
        <v>72</v>
      </c>
      <c r="E152" s="6" t="s">
        <v>13</v>
      </c>
      <c r="F152" s="6">
        <f>Vértices!C147</f>
        <v>12475.028900459785</v>
      </c>
      <c r="G152" s="17" t="str">
        <f>IF($C$2="Caminhão",Vértices!F147,"Sim")</f>
        <v>Não</v>
      </c>
      <c r="H152" s="13" t="str">
        <f>IF(OR($C$3="Sem chuva",$I152=0), "Não",IF($D$3&gt;=Tabela12[[#This Row],[Chuva]],"Sim","Não"))</f>
        <v>Não</v>
      </c>
      <c r="I152" s="13">
        <f>VLOOKUP(Vértices!E147,Tabela5[],2,)</f>
        <v>0</v>
      </c>
      <c r="J152" s="13" t="str">
        <f>IF(AND(Vértices!$J147="Sim",OR(Pesos!$D$4="Madrugada",Pesos!$D$4="Noite")),"Via bloqueada", "Via liberada")</f>
        <v>Via liberada</v>
      </c>
      <c r="K152" s="13">
        <f>Tabela12[[#This Row],[Distância (m)]]*((1*VLOOKUP(Vértices!$G147,Tabela7[[Classificação]:[Peso]],2,FALSE)+2*VLOOKUP(Vértices!I147,Tabela9[[Classificação]:[Peso]],2,FALSE)+3*VLOOKUP(Pesos!$C$5,Tabela11[[Classificação]:[Peso]],2,FALSE)+4*VLOOKUP(Vértices!H147,Tabela8[[Classificação]:[Peso]],2,FALSE)+5*VLOOKUP($D$3,Tabela5[[Fator Chuva]:[Peso]],2,FALSE))/15)*VLOOKUP(Vértices!G147,Tabela7[[Classificação]:[Peso]],2,FALSE)*VLOOKUP(Vértices!H147,Tabela8[[Classificação]:[Peso]],2,FALSE)*VLOOKUP(Vértices!I147,Tabela9[[Classificação]:[Peso]],2,FALSE)</f>
        <v>72978.919067689741</v>
      </c>
      <c r="L15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53" spans="4:12" ht="15" x14ac:dyDescent="0.2">
      <c r="D153" s="9" t="s">
        <v>72</v>
      </c>
      <c r="E153" s="9" t="s">
        <v>42</v>
      </c>
      <c r="F153" s="9">
        <f>Vértices!C148</f>
        <v>1007.181330070232</v>
      </c>
      <c r="G153" s="17" t="str">
        <f>IF($C$2="Caminhão",Vértices!F148,"Sim")</f>
        <v>Não</v>
      </c>
      <c r="H153" s="13" t="str">
        <f>IF(OR($C$3="Sem chuva",$I153=0), "Não",IF($D$3&gt;=Tabela12[[#This Row],[Chuva]],"Sim","Não"))</f>
        <v>Não</v>
      </c>
      <c r="I153" s="13">
        <f>VLOOKUP(Vértices!E148,Tabela5[],2,)</f>
        <v>0</v>
      </c>
      <c r="J153" s="13" t="str">
        <f>IF(AND(Vértices!$J148="Sim",OR(Pesos!$D$4="Madrugada",Pesos!$D$4="Noite")),"Via bloqueada", "Via liberada")</f>
        <v>Via liberada</v>
      </c>
      <c r="K153" s="13">
        <f>Tabela12[[#This Row],[Distância (m)]]*((1*VLOOKUP(Vértices!$G148,Tabela7[[Classificação]:[Peso]],2,FALSE)+2*VLOOKUP(Vértices!I148,Tabela9[[Classificação]:[Peso]],2,FALSE)+3*VLOOKUP(Pesos!$C$5,Tabela11[[Classificação]:[Peso]],2,FALSE)+4*VLOOKUP(Vértices!H148,Tabela8[[Classificação]:[Peso]],2,FALSE)+5*VLOOKUP($D$3,Tabela5[[Fator Chuva]:[Peso]],2,FALSE))/15)*VLOOKUP(Vértices!G148,Tabela7[[Classificação]:[Peso]],2,FALSE)*VLOOKUP(Vértices!H148,Tabela8[[Classificação]:[Peso]],2,FALSE)*VLOOKUP(Vértices!I148,Tabela9[[Classificação]:[Peso]],2,FALSE)</f>
        <v>3852.4685875186369</v>
      </c>
      <c r="L15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54" spans="4:12" ht="15" x14ac:dyDescent="0.2">
      <c r="D154" s="6" t="s">
        <v>73</v>
      </c>
      <c r="E154" s="6" t="s">
        <v>5</v>
      </c>
      <c r="F154" s="6">
        <f>Vértices!C149</f>
        <v>273.77787011464915</v>
      </c>
      <c r="G154" s="17" t="str">
        <f>IF($C$2="Caminhão",Vértices!F149,"Sim")</f>
        <v>Sim</v>
      </c>
      <c r="H154" s="13" t="str">
        <f>IF(OR($C$3="Sem chuva",$I154=0), "Não",IF($D$3&gt;=Tabela12[[#This Row],[Chuva]],"Sim","Não"))</f>
        <v>Não</v>
      </c>
      <c r="I154" s="13">
        <f>VLOOKUP(Vértices!E149,Tabela5[],2,)</f>
        <v>6</v>
      </c>
      <c r="J154" s="13" t="str">
        <f>IF(AND(Vértices!$J149="Sim",OR(Pesos!$D$4="Madrugada",Pesos!$D$4="Noite")),"Via bloqueada", "Via liberada")</f>
        <v>Via liberada</v>
      </c>
      <c r="K154" s="13">
        <f>Tabela12[[#This Row],[Distância (m)]]*((1*VLOOKUP(Vértices!$G149,Tabela7[[Classificação]:[Peso]],2,FALSE)+2*VLOOKUP(Vértices!I149,Tabela9[[Classificação]:[Peso]],2,FALSE)+3*VLOOKUP(Pesos!$C$5,Tabela11[[Classificação]:[Peso]],2,FALSE)+4*VLOOKUP(Vértices!H149,Tabela8[[Classificação]:[Peso]],2,FALSE)+5*VLOOKUP($D$3,Tabela5[[Fator Chuva]:[Peso]],2,FALSE))/15)*VLOOKUP(Vértices!G149,Tabela7[[Classificação]:[Peso]],2,FALSE)*VLOOKUP(Vértices!H149,Tabela8[[Classificação]:[Peso]],2,FALSE)*VLOOKUP(Vértices!I149,Tabela9[[Classificação]:[Peso]],2,FALSE)</f>
        <v>2299.7341089630527</v>
      </c>
      <c r="L154" s="13">
        <f>IF(OR(Tabela12[[#This Row],[Vai poder passar?]]="Não",Tabela12[[#This Row],[Via Alagada?]]="Sim",Tabela12[[#This Row],[Criminalidade]]="Via bloqueada"), "Ignorar rota", Tabela12[[#This Row],[Peso]])</f>
        <v>2299.7341089630527</v>
      </c>
    </row>
    <row r="155" spans="4:12" ht="15" x14ac:dyDescent="0.2">
      <c r="D155" s="9" t="s">
        <v>73</v>
      </c>
      <c r="E155" s="9" t="s">
        <v>54</v>
      </c>
      <c r="F155" s="9">
        <f>Vértices!C150</f>
        <v>36090.691638725941</v>
      </c>
      <c r="G155" s="17" t="str">
        <f>IF($C$2="Caminhão",Vértices!F150,"Sim")</f>
        <v>Sim</v>
      </c>
      <c r="H155" s="13" t="str">
        <f>IF(OR($C$3="Sem chuva",$I155=0), "Não",IF($D$3&gt;=Tabela12[[#This Row],[Chuva]],"Sim","Não"))</f>
        <v>Não</v>
      </c>
      <c r="I155" s="13">
        <f>VLOOKUP(Vértices!E150,Tabela5[],2,)</f>
        <v>6</v>
      </c>
      <c r="J155" s="13" t="str">
        <f>IF(AND(Vértices!$J150="Sim",OR(Pesos!$D$4="Madrugada",Pesos!$D$4="Noite")),"Via bloqueada", "Via liberada")</f>
        <v>Via liberada</v>
      </c>
      <c r="K155" s="13">
        <f>Tabela12[[#This Row],[Distância (m)]]*((1*VLOOKUP(Vértices!$G150,Tabela7[[Classificação]:[Peso]],2,FALSE)+2*VLOOKUP(Vértices!I150,Tabela9[[Classificação]:[Peso]],2,FALSE)+3*VLOOKUP(Pesos!$C$5,Tabela11[[Classificação]:[Peso]],2,FALSE)+4*VLOOKUP(Vértices!H150,Tabela8[[Classificação]:[Peso]],2,FALSE)+5*VLOOKUP($D$3,Tabela5[[Fator Chuva]:[Peso]],2,FALSE))/15)*VLOOKUP(Vértices!G150,Tabela7[[Classificação]:[Peso]],2,FALSE)*VLOOKUP(Vértices!H150,Tabela8[[Classificação]:[Peso]],2,FALSE)*VLOOKUP(Vértices!I150,Tabela9[[Classificação]:[Peso]],2,FALSE)</f>
        <v>198498.80401299268</v>
      </c>
      <c r="L155" s="13">
        <f>IF(OR(Tabela12[[#This Row],[Vai poder passar?]]="Não",Tabela12[[#This Row],[Via Alagada?]]="Sim",Tabela12[[#This Row],[Criminalidade]]="Via bloqueada"), "Ignorar rota", Tabela12[[#This Row],[Peso]])</f>
        <v>198498.80401299268</v>
      </c>
    </row>
    <row r="156" spans="4:12" ht="15" x14ac:dyDescent="0.2">
      <c r="D156" s="6" t="s">
        <v>74</v>
      </c>
      <c r="E156" s="6" t="s">
        <v>37</v>
      </c>
      <c r="F156" s="6">
        <f>Vértices!C151</f>
        <v>4084.1462243662877</v>
      </c>
      <c r="G156" s="17" t="str">
        <f>IF($C$2="Caminhão",Vértices!F151,"Sim")</f>
        <v>Sim</v>
      </c>
      <c r="H156" s="13" t="str">
        <f>IF(OR($C$3="Sem chuva",$I156=0), "Não",IF($D$3&gt;=Tabela12[[#This Row],[Chuva]],"Sim","Não"))</f>
        <v>Não</v>
      </c>
      <c r="I156" s="13">
        <f>VLOOKUP(Vértices!E151,Tabela5[],2,)</f>
        <v>6</v>
      </c>
      <c r="J156" s="13" t="str">
        <f>IF(AND(Vértices!$J151="Sim",OR(Pesos!$D$4="Madrugada",Pesos!$D$4="Noite")),"Via bloqueada", "Via liberada")</f>
        <v>Via liberada</v>
      </c>
      <c r="K156" s="13">
        <f>Tabela12[[#This Row],[Distância (m)]]*((1*VLOOKUP(Vértices!$G151,Tabela7[[Classificação]:[Peso]],2,FALSE)+2*VLOOKUP(Vértices!I151,Tabela9[[Classificação]:[Peso]],2,FALSE)+3*VLOOKUP(Pesos!$C$5,Tabela11[[Classificação]:[Peso]],2,FALSE)+4*VLOOKUP(Vértices!H151,Tabela8[[Classificação]:[Peso]],2,FALSE)+5*VLOOKUP($D$3,Tabela5[[Fator Chuva]:[Peso]],2,FALSE))/15)*VLOOKUP(Vértices!G151,Tabela7[[Classificação]:[Peso]],2,FALSE)*VLOOKUP(Vértices!H151,Tabela8[[Classificação]:[Peso]],2,FALSE)*VLOOKUP(Vértices!I151,Tabela9[[Classificação]:[Peso]],2,FALSE)</f>
        <v>41522.153281057253</v>
      </c>
      <c r="L156" s="13">
        <f>IF(OR(Tabela12[[#This Row],[Vai poder passar?]]="Não",Tabela12[[#This Row],[Via Alagada?]]="Sim",Tabela12[[#This Row],[Criminalidade]]="Via bloqueada"), "Ignorar rota", Tabela12[[#This Row],[Peso]])</f>
        <v>41522.153281057253</v>
      </c>
    </row>
    <row r="157" spans="4:12" ht="15" x14ac:dyDescent="0.2">
      <c r="D157" s="9" t="s">
        <v>75</v>
      </c>
      <c r="E157" s="9" t="s">
        <v>99</v>
      </c>
      <c r="F157" s="9">
        <f>Vértices!C152</f>
        <v>1059.5777868538862</v>
      </c>
      <c r="G157" s="17" t="str">
        <f>IF($C$2="Caminhão",Vértices!F152,"Sim")</f>
        <v>Sim</v>
      </c>
      <c r="H157" s="13" t="str">
        <f>IF(OR($C$3="Sem chuva",$I157=0), "Não",IF($D$3&gt;=Tabela12[[#This Row],[Chuva]],"Sim","Não"))</f>
        <v>Não</v>
      </c>
      <c r="I157" s="13">
        <f>VLOOKUP(Vértices!E152,Tabela5[],2,)</f>
        <v>6</v>
      </c>
      <c r="J157" s="13" t="str">
        <f>IF(AND(Vértices!$J152="Sim",OR(Pesos!$D$4="Madrugada",Pesos!$D$4="Noite")),"Via bloqueada", "Via liberada")</f>
        <v>Via liberada</v>
      </c>
      <c r="K157" s="13">
        <f>Tabela12[[#This Row],[Distância (m)]]*((1*VLOOKUP(Vértices!$G152,Tabela7[[Classificação]:[Peso]],2,FALSE)+2*VLOOKUP(Vértices!I152,Tabela9[[Classificação]:[Peso]],2,FALSE)+3*VLOOKUP(Pesos!$C$5,Tabela11[[Classificação]:[Peso]],2,FALSE)+4*VLOOKUP(Vértices!H152,Tabela8[[Classificação]:[Peso]],2,FALSE)+5*VLOOKUP($D$3,Tabela5[[Fator Chuva]:[Peso]],2,FALSE))/15)*VLOOKUP(Vértices!G152,Tabela7[[Classificação]:[Peso]],2,FALSE)*VLOOKUP(Vértices!H152,Tabela8[[Classificação]:[Peso]],2,FALSE)*VLOOKUP(Vértices!I152,Tabela9[[Classificação]:[Peso]],2,FALSE)</f>
        <v>16423.455696235236</v>
      </c>
      <c r="L157" s="13">
        <f>IF(OR(Tabela12[[#This Row],[Vai poder passar?]]="Não",Tabela12[[#This Row],[Via Alagada?]]="Sim",Tabela12[[#This Row],[Criminalidade]]="Via bloqueada"), "Ignorar rota", Tabela12[[#This Row],[Peso]])</f>
        <v>16423.455696235236</v>
      </c>
    </row>
    <row r="158" spans="4:12" ht="15" x14ac:dyDescent="0.2">
      <c r="D158" s="6" t="s">
        <v>76</v>
      </c>
      <c r="E158" s="6" t="s">
        <v>11</v>
      </c>
      <c r="F158" s="6">
        <f>Vértices!C153</f>
        <v>76570.571194171294</v>
      </c>
      <c r="G158" s="17" t="str">
        <f>IF($C$2="Caminhão",Vértices!F153,"Sim")</f>
        <v>Sim</v>
      </c>
      <c r="H158" s="13" t="str">
        <f>IF(OR($C$3="Sem chuva",$I158=0), "Não",IF($D$3&gt;=Tabela12[[#This Row],[Chuva]],"Sim","Não"))</f>
        <v>Não</v>
      </c>
      <c r="I158" s="13">
        <f>VLOOKUP(Vértices!E153,Tabela5[],2,)</f>
        <v>0</v>
      </c>
      <c r="J158" s="13" t="str">
        <f>IF(AND(Vértices!$J153="Sim",OR(Pesos!$D$4="Madrugada",Pesos!$D$4="Noite")),"Via bloqueada", "Via liberada")</f>
        <v>Via liberada</v>
      </c>
      <c r="K158" s="13">
        <f>Tabela12[[#This Row],[Distância (m)]]*((1*VLOOKUP(Vértices!$G153,Tabela7[[Classificação]:[Peso]],2,FALSE)+2*VLOOKUP(Vértices!I153,Tabela9[[Classificação]:[Peso]],2,FALSE)+3*VLOOKUP(Pesos!$C$5,Tabela11[[Classificação]:[Peso]],2,FALSE)+4*VLOOKUP(Vértices!H153,Tabela8[[Classificação]:[Peso]],2,FALSE)+5*VLOOKUP($D$3,Tabela5[[Fator Chuva]:[Peso]],2,FALSE))/15)*VLOOKUP(Vértices!G153,Tabela7[[Classificação]:[Peso]],2,FALSE)*VLOOKUP(Vértices!H153,Tabela8[[Classificação]:[Peso]],2,FALSE)*VLOOKUP(Vértices!I153,Tabela9[[Classificação]:[Peso]],2,FALSE)</f>
        <v>86141.892593442724</v>
      </c>
      <c r="L158" s="13">
        <f>IF(OR(Tabela12[[#This Row],[Vai poder passar?]]="Não",Tabela12[[#This Row],[Via Alagada?]]="Sim",Tabela12[[#This Row],[Criminalidade]]="Via bloqueada"), "Ignorar rota", Tabela12[[#This Row],[Peso]])</f>
        <v>86141.892593442724</v>
      </c>
    </row>
    <row r="159" spans="4:12" ht="15" x14ac:dyDescent="0.2">
      <c r="D159" s="9" t="s">
        <v>76</v>
      </c>
      <c r="E159" s="9" t="s">
        <v>9</v>
      </c>
      <c r="F159" s="9">
        <f>Vértices!C154</f>
        <v>8343.5242146586916</v>
      </c>
      <c r="G159" s="17" t="str">
        <f>IF($C$2="Caminhão",Vértices!F154,"Sim")</f>
        <v>Sim</v>
      </c>
      <c r="H159" s="13" t="str">
        <f>IF(OR($C$3="Sem chuva",$I159=0), "Não",IF($D$3&gt;=Tabela12[[#This Row],[Chuva]],"Sim","Não"))</f>
        <v>Não</v>
      </c>
      <c r="I159" s="13">
        <f>VLOOKUP(Vértices!E154,Tabela5[],2,)</f>
        <v>0</v>
      </c>
      <c r="J159" s="13" t="str">
        <f>IF(AND(Vértices!$J154="Sim",OR(Pesos!$D$4="Madrugada",Pesos!$D$4="Noite")),"Via bloqueada", "Via liberada")</f>
        <v>Via liberada</v>
      </c>
      <c r="K159" s="13">
        <f>Tabela12[[#This Row],[Distância (m)]]*((1*VLOOKUP(Vértices!$G154,Tabela7[[Classificação]:[Peso]],2,FALSE)+2*VLOOKUP(Vértices!I154,Tabela9[[Classificação]:[Peso]],2,FALSE)+3*VLOOKUP(Pesos!$C$5,Tabela11[[Classificação]:[Peso]],2,FALSE)+4*VLOOKUP(Vértices!H154,Tabela8[[Classificação]:[Peso]],2,FALSE)+5*VLOOKUP($D$3,Tabela5[[Fator Chuva]:[Peso]],2,FALSE))/15)*VLOOKUP(Vértices!G154,Tabela7[[Classificação]:[Peso]],2,FALSE)*VLOOKUP(Vértices!H154,Tabela8[[Classificação]:[Peso]],2,FALSE)*VLOOKUP(Vértices!I154,Tabela9[[Classificação]:[Peso]],2,FALSE)</f>
        <v>9386.4647414910287</v>
      </c>
      <c r="L159" s="13">
        <f>IF(OR(Tabela12[[#This Row],[Vai poder passar?]]="Não",Tabela12[[#This Row],[Via Alagada?]]="Sim",Tabela12[[#This Row],[Criminalidade]]="Via bloqueada"), "Ignorar rota", Tabela12[[#This Row],[Peso]])</f>
        <v>9386.4647414910287</v>
      </c>
    </row>
    <row r="160" spans="4:12" ht="15" x14ac:dyDescent="0.2">
      <c r="D160" s="6" t="s">
        <v>77</v>
      </c>
      <c r="E160" s="6" t="s">
        <v>16</v>
      </c>
      <c r="F160" s="6">
        <f>Vértices!C155</f>
        <v>12083.42554104806</v>
      </c>
      <c r="G160" s="17" t="str">
        <f>IF($C$2="Caminhão",Vértices!F155,"Sim")</f>
        <v>Sim</v>
      </c>
      <c r="H160" s="13" t="str">
        <f>IF(OR($C$3="Sem chuva",$I160=0), "Não",IF($D$3&gt;=Tabela12[[#This Row],[Chuva]],"Sim","Não"))</f>
        <v>Não</v>
      </c>
      <c r="I160" s="13">
        <f>VLOOKUP(Vértices!E155,Tabela5[],2,)</f>
        <v>0</v>
      </c>
      <c r="J160" s="13" t="str">
        <f>IF(AND(Vértices!$J155="Sim",OR(Pesos!$D$4="Madrugada",Pesos!$D$4="Noite")),"Via bloqueada", "Via liberada")</f>
        <v>Via liberada</v>
      </c>
      <c r="K160" s="13">
        <f>Tabela12[[#This Row],[Distância (m)]]*((1*VLOOKUP(Vértices!$G155,Tabela7[[Classificação]:[Peso]],2,FALSE)+2*VLOOKUP(Vértices!I155,Tabela9[[Classificação]:[Peso]],2,FALSE)+3*VLOOKUP(Pesos!$C$5,Tabela11[[Classificação]:[Peso]],2,FALSE)+4*VLOOKUP(Vértices!H155,Tabela8[[Classificação]:[Peso]],2,FALSE)+5*VLOOKUP($D$3,Tabela5[[Fator Chuva]:[Peso]],2,FALSE))/15)*VLOOKUP(Vértices!G155,Tabela7[[Classificação]:[Peso]],2,FALSE)*VLOOKUP(Vértices!H155,Tabela8[[Classificação]:[Peso]],2,FALSE)*VLOOKUP(Vértices!I155,Tabela9[[Classificação]:[Peso]],2,FALSE)</f>
        <v>101500.7745448037</v>
      </c>
      <c r="L160" s="13">
        <f>IF(OR(Tabela12[[#This Row],[Vai poder passar?]]="Não",Tabela12[[#This Row],[Via Alagada?]]="Sim",Tabela12[[#This Row],[Criminalidade]]="Via bloqueada"), "Ignorar rota", Tabela12[[#This Row],[Peso]])</f>
        <v>101500.7745448037</v>
      </c>
    </row>
    <row r="161" spans="4:12" ht="15" x14ac:dyDescent="0.2">
      <c r="D161" s="9" t="s">
        <v>77</v>
      </c>
      <c r="E161" s="9" t="s">
        <v>23</v>
      </c>
      <c r="F161" s="9">
        <f>Vértices!C156</f>
        <v>1076.6291012811726</v>
      </c>
      <c r="G161" s="17" t="str">
        <f>IF($C$2="Caminhão",Vértices!F156,"Sim")</f>
        <v>Sim</v>
      </c>
      <c r="H161" s="13" t="str">
        <f>IF(OR($C$3="Sem chuva",$I161=0), "Não",IF($D$3&gt;=Tabela12[[#This Row],[Chuva]],"Sim","Não"))</f>
        <v>Não</v>
      </c>
      <c r="I161" s="13">
        <f>VLOOKUP(Vértices!E156,Tabela5[],2,)</f>
        <v>0</v>
      </c>
      <c r="J161" s="13" t="str">
        <f>IF(AND(Vértices!$J156="Sim",OR(Pesos!$D$4="Madrugada",Pesos!$D$4="Noite")),"Via bloqueada", "Via liberada")</f>
        <v>Via liberada</v>
      </c>
      <c r="K161" s="13">
        <f>Tabela12[[#This Row],[Distância (m)]]*((1*VLOOKUP(Vértices!$G156,Tabela7[[Classificação]:[Peso]],2,FALSE)+2*VLOOKUP(Vértices!I156,Tabela9[[Classificação]:[Peso]],2,FALSE)+3*VLOOKUP(Pesos!$C$5,Tabela11[[Classificação]:[Peso]],2,FALSE)+4*VLOOKUP(Vértices!H156,Tabela8[[Classificação]:[Peso]],2,FALSE)+5*VLOOKUP($D$3,Tabela5[[Fator Chuva]:[Peso]],2,FALSE))/15)*VLOOKUP(Vértices!G156,Tabela7[[Classificação]:[Peso]],2,FALSE)*VLOOKUP(Vértices!H156,Tabela8[[Classificação]:[Peso]],2,FALSE)*VLOOKUP(Vértices!I156,Tabela9[[Classificação]:[Peso]],2,FALSE)</f>
        <v>10945.729196358587</v>
      </c>
      <c r="L161" s="13">
        <f>IF(OR(Tabela12[[#This Row],[Vai poder passar?]]="Não",Tabela12[[#This Row],[Via Alagada?]]="Sim",Tabela12[[#This Row],[Criminalidade]]="Via bloqueada"), "Ignorar rota", Tabela12[[#This Row],[Peso]])</f>
        <v>10945.729196358587</v>
      </c>
    </row>
    <row r="162" spans="4:12" ht="15" x14ac:dyDescent="0.2">
      <c r="D162" s="6" t="s">
        <v>78</v>
      </c>
      <c r="E162" s="6" t="s">
        <v>68</v>
      </c>
      <c r="F162" s="6">
        <f>Vértices!C157</f>
        <v>48945.144297818573</v>
      </c>
      <c r="G162" s="17" t="str">
        <f>IF($C$2="Caminhão",Vértices!F157,"Sim")</f>
        <v>Não</v>
      </c>
      <c r="H162" s="13" t="str">
        <f>IF(OR($C$3="Sem chuva",$I162=0), "Não",IF($D$3&gt;=Tabela12[[#This Row],[Chuva]],"Sim","Não"))</f>
        <v>Sim</v>
      </c>
      <c r="I162" s="13">
        <f>VLOOKUP(Vértices!E157,Tabela5[],2,)</f>
        <v>5</v>
      </c>
      <c r="J162" s="13" t="str">
        <f>IF(AND(Vértices!$J157="Sim",OR(Pesos!$D$4="Madrugada",Pesos!$D$4="Noite")),"Via bloqueada", "Via liberada")</f>
        <v>Via bloqueada</v>
      </c>
      <c r="K162" s="13">
        <f>Tabela12[[#This Row],[Distância (m)]]*((1*VLOOKUP(Vértices!$G157,Tabela7[[Classificação]:[Peso]],2,FALSE)+2*VLOOKUP(Vértices!I157,Tabela9[[Classificação]:[Peso]],2,FALSE)+3*VLOOKUP(Pesos!$C$5,Tabela11[[Classificação]:[Peso]],2,FALSE)+4*VLOOKUP(Vértices!H157,Tabela8[[Classificação]:[Peso]],2,FALSE)+5*VLOOKUP($D$3,Tabela5[[Fator Chuva]:[Peso]],2,FALSE))/15)*VLOOKUP(Vértices!G157,Tabela7[[Classificação]:[Peso]],2,FALSE)*VLOOKUP(Vértices!H157,Tabela8[[Classificação]:[Peso]],2,FALSE)*VLOOKUP(Vértices!I157,Tabela9[[Classificação]:[Peso]],2,FALSE)</f>
        <v>112573.83188498272</v>
      </c>
      <c r="L16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63" spans="4:12" ht="15" x14ac:dyDescent="0.2">
      <c r="D163" s="9" t="s">
        <v>78</v>
      </c>
      <c r="E163" s="9" t="s">
        <v>98</v>
      </c>
      <c r="F163" s="9">
        <f>Vértices!C158</f>
        <v>12714.503577760584</v>
      </c>
      <c r="G163" s="17" t="str">
        <f>IF($C$2="Caminhão",Vértices!F158,"Sim")</f>
        <v>Sim</v>
      </c>
      <c r="H163" s="13" t="str">
        <f>IF(OR($C$3="Sem chuva",$I163=0), "Não",IF($D$3&gt;=Tabela12[[#This Row],[Chuva]],"Sim","Não"))</f>
        <v>Não</v>
      </c>
      <c r="I163" s="13">
        <f>VLOOKUP(Vértices!E158,Tabela5[],2,)</f>
        <v>0</v>
      </c>
      <c r="J163" s="13" t="str">
        <f>IF(AND(Vértices!$J158="Sim",OR(Pesos!$D$4="Madrugada",Pesos!$D$4="Noite")),"Via bloqueada", "Via liberada")</f>
        <v>Via liberada</v>
      </c>
      <c r="K163" s="13">
        <f>Tabela12[[#This Row],[Distância (m)]]*((1*VLOOKUP(Vértices!$G158,Tabela7[[Classificação]:[Peso]],2,FALSE)+2*VLOOKUP(Vértices!I158,Tabela9[[Classificação]:[Peso]],2,FALSE)+3*VLOOKUP(Pesos!$C$5,Tabela11[[Classificação]:[Peso]],2,FALSE)+4*VLOOKUP(Vértices!H158,Tabela8[[Classificação]:[Peso]],2,FALSE)+5*VLOOKUP($D$3,Tabela5[[Fator Chuva]:[Peso]],2,FALSE))/15)*VLOOKUP(Vértices!G158,Tabela7[[Classificação]:[Peso]],2,FALSE)*VLOOKUP(Vértices!H158,Tabela8[[Classificação]:[Peso]],2,FALSE)*VLOOKUP(Vértices!I158,Tabela9[[Classificação]:[Peso]],2,FALSE)</f>
        <v>102987.47897986072</v>
      </c>
      <c r="L163" s="13">
        <f>IF(OR(Tabela12[[#This Row],[Vai poder passar?]]="Não",Tabela12[[#This Row],[Via Alagada?]]="Sim",Tabela12[[#This Row],[Criminalidade]]="Via bloqueada"), "Ignorar rota", Tabela12[[#This Row],[Peso]])</f>
        <v>102987.47897986072</v>
      </c>
    </row>
    <row r="164" spans="4:12" ht="15" x14ac:dyDescent="0.2">
      <c r="D164" s="6" t="s">
        <v>78</v>
      </c>
      <c r="E164" s="6" t="s">
        <v>96</v>
      </c>
      <c r="F164" s="6">
        <f>Vértices!C159</f>
        <v>2136.0924825240068</v>
      </c>
      <c r="G164" s="17" t="str">
        <f>IF($C$2="Caminhão",Vértices!F159,"Sim")</f>
        <v>Sim</v>
      </c>
      <c r="H164" s="13" t="str">
        <f>IF(OR($C$3="Sem chuva",$I164=0), "Não",IF($D$3&gt;=Tabela12[[#This Row],[Chuva]],"Sim","Não"))</f>
        <v>Não</v>
      </c>
      <c r="I164" s="13">
        <f>VLOOKUP(Vértices!E159,Tabela5[],2,)</f>
        <v>0</v>
      </c>
      <c r="J164" s="13" t="str">
        <f>IF(AND(Vértices!$J159="Sim",OR(Pesos!$D$4="Madrugada",Pesos!$D$4="Noite")),"Via bloqueada", "Via liberada")</f>
        <v>Via liberada</v>
      </c>
      <c r="K164" s="13">
        <f>Tabela12[[#This Row],[Distância (m)]]*((1*VLOOKUP(Vértices!$G159,Tabela7[[Classificação]:[Peso]],2,FALSE)+2*VLOOKUP(Vértices!I159,Tabela9[[Classificação]:[Peso]],2,FALSE)+3*VLOOKUP(Pesos!$C$5,Tabela11[[Classificação]:[Peso]],2,FALSE)+4*VLOOKUP(Vértices!H159,Tabela8[[Classificação]:[Peso]],2,FALSE)+5*VLOOKUP($D$3,Tabela5[[Fator Chuva]:[Peso]],2,FALSE))/15)*VLOOKUP(Vértices!G159,Tabela7[[Classificação]:[Peso]],2,FALSE)*VLOOKUP(Vértices!H159,Tabela8[[Classificação]:[Peso]],2,FALSE)*VLOOKUP(Vértices!I159,Tabela9[[Classificação]:[Peso]],2,FALSE)</f>
        <v>17302.349108444454</v>
      </c>
      <c r="L164" s="13">
        <f>IF(OR(Tabela12[[#This Row],[Vai poder passar?]]="Não",Tabela12[[#This Row],[Via Alagada?]]="Sim",Tabela12[[#This Row],[Criminalidade]]="Via bloqueada"), "Ignorar rota", Tabela12[[#This Row],[Peso]])</f>
        <v>17302.349108444454</v>
      </c>
    </row>
    <row r="165" spans="4:12" ht="15" x14ac:dyDescent="0.2">
      <c r="D165" s="9" t="s">
        <v>79</v>
      </c>
      <c r="E165" s="9" t="s">
        <v>3</v>
      </c>
      <c r="F165" s="9">
        <f>Vértices!C160</f>
        <v>53538.013839164028</v>
      </c>
      <c r="G165" s="17" t="str">
        <f>IF($C$2="Caminhão",Vértices!F160,"Sim")</f>
        <v>Sim</v>
      </c>
      <c r="H165" s="13" t="str">
        <f>IF(OR($C$3="Sem chuva",$I165=0), "Não",IF($D$3&gt;=Tabela12[[#This Row],[Chuva]],"Sim","Não"))</f>
        <v>Não</v>
      </c>
      <c r="I165" s="13">
        <f>VLOOKUP(Vértices!E160,Tabela5[],2,)</f>
        <v>0</v>
      </c>
      <c r="J165" s="13" t="str">
        <f>IF(AND(Vértices!$J160="Sim",OR(Pesos!$D$4="Madrugada",Pesos!$D$4="Noite")),"Via bloqueada", "Via liberada")</f>
        <v>Via liberada</v>
      </c>
      <c r="K165" s="13">
        <f>Tabela12[[#This Row],[Distância (m)]]*((1*VLOOKUP(Vértices!$G160,Tabela7[[Classificação]:[Peso]],2,FALSE)+2*VLOOKUP(Vértices!I160,Tabela9[[Classificação]:[Peso]],2,FALSE)+3*VLOOKUP(Pesos!$C$5,Tabela11[[Classificação]:[Peso]],2,FALSE)+4*VLOOKUP(Vértices!H160,Tabela8[[Classificação]:[Peso]],2,FALSE)+5*VLOOKUP($D$3,Tabela5[[Fator Chuva]:[Peso]],2,FALSE))/15)*VLOOKUP(Vértices!G160,Tabela7[[Classificação]:[Peso]],2,FALSE)*VLOOKUP(Vértices!H160,Tabela8[[Classificação]:[Peso]],2,FALSE)*VLOOKUP(Vértices!I160,Tabela9[[Classificação]:[Peso]],2,FALSE)</f>
        <v>449719.31624897785</v>
      </c>
      <c r="L165" s="13">
        <f>IF(OR(Tabela12[[#This Row],[Vai poder passar?]]="Não",Tabela12[[#This Row],[Via Alagada?]]="Sim",Tabela12[[#This Row],[Criminalidade]]="Via bloqueada"), "Ignorar rota", Tabela12[[#This Row],[Peso]])</f>
        <v>449719.31624897785</v>
      </c>
    </row>
    <row r="166" spans="4:12" ht="15" x14ac:dyDescent="0.2">
      <c r="D166" s="6" t="s">
        <v>79</v>
      </c>
      <c r="E166" s="6" t="s">
        <v>19</v>
      </c>
      <c r="F166" s="6">
        <f>Vértices!C161</f>
        <v>27018.543774455255</v>
      </c>
      <c r="G166" s="17" t="str">
        <f>IF($C$2="Caminhão",Vértices!F161,"Sim")</f>
        <v>Não</v>
      </c>
      <c r="H166" s="13" t="str">
        <f>IF(OR($C$3="Sem chuva",$I166=0), "Não",IF($D$3&gt;=Tabela12[[#This Row],[Chuva]],"Sim","Não"))</f>
        <v>Não</v>
      </c>
      <c r="I166" s="13">
        <f>VLOOKUP(Vértices!E161,Tabela5[],2,)</f>
        <v>0</v>
      </c>
      <c r="J166" s="13" t="str">
        <f>IF(AND(Vértices!$J161="Sim",OR(Pesos!$D$4="Madrugada",Pesos!$D$4="Noite")),"Via bloqueada", "Via liberada")</f>
        <v>Via liberada</v>
      </c>
      <c r="K166" s="13">
        <f>Tabela12[[#This Row],[Distância (m)]]*((1*VLOOKUP(Vértices!$G161,Tabela7[[Classificação]:[Peso]],2,FALSE)+2*VLOOKUP(Vértices!I161,Tabela9[[Classificação]:[Peso]],2,FALSE)+3*VLOOKUP(Pesos!$C$5,Tabela11[[Classificação]:[Peso]],2,FALSE)+4*VLOOKUP(Vértices!H161,Tabela8[[Classificação]:[Peso]],2,FALSE)+5*VLOOKUP($D$3,Tabela5[[Fator Chuva]:[Peso]],2,FALSE))/15)*VLOOKUP(Vértices!G161,Tabela7[[Classificação]:[Peso]],2,FALSE)*VLOOKUP(Vértices!H161,Tabela8[[Classificação]:[Peso]],2,FALSE)*VLOOKUP(Vértices!I161,Tabela9[[Classificação]:[Peso]],2,FALSE)</f>
        <v>97266.757588038919</v>
      </c>
      <c r="L16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67" spans="4:12" ht="15" x14ac:dyDescent="0.2">
      <c r="D167" s="9" t="s">
        <v>80</v>
      </c>
      <c r="E167" s="9" t="s">
        <v>38</v>
      </c>
      <c r="F167" s="9">
        <f>Vértices!C162</f>
        <v>4888.20484895352</v>
      </c>
      <c r="G167" s="17" t="str">
        <f>IF($C$2="Caminhão",Vértices!F162,"Sim")</f>
        <v>Sim</v>
      </c>
      <c r="H167" s="13" t="str">
        <f>IF(OR($C$3="Sem chuva",$I167=0), "Não",IF($D$3&gt;=Tabela12[[#This Row],[Chuva]],"Sim","Não"))</f>
        <v>Sim</v>
      </c>
      <c r="I167" s="13">
        <f>VLOOKUP(Vértices!E162,Tabela5[],2,)</f>
        <v>4</v>
      </c>
      <c r="J167" s="13" t="str">
        <f>IF(AND(Vértices!$J162="Sim",OR(Pesos!$D$4="Madrugada",Pesos!$D$4="Noite")),"Via bloqueada", "Via liberada")</f>
        <v>Via liberada</v>
      </c>
      <c r="K167" s="13">
        <f>Tabela12[[#This Row],[Distância (m)]]*((1*VLOOKUP(Vértices!$G162,Tabela7[[Classificação]:[Peso]],2,FALSE)+2*VLOOKUP(Vértices!I162,Tabela9[[Classificação]:[Peso]],2,FALSE)+3*VLOOKUP(Pesos!$C$5,Tabela11[[Classificação]:[Peso]],2,FALSE)+4*VLOOKUP(Vértices!H162,Tabela8[[Classificação]:[Peso]],2,FALSE)+5*VLOOKUP($D$3,Tabela5[[Fator Chuva]:[Peso]],2,FALSE))/15)*VLOOKUP(Vértices!G162,Tabela7[[Classificação]:[Peso]],2,FALSE)*VLOOKUP(Vértices!H162,Tabela8[[Classificação]:[Peso]],2,FALSE)*VLOOKUP(Vértices!I162,Tabela9[[Classificação]:[Peso]],2,FALSE)</f>
        <v>49696.749297694114</v>
      </c>
      <c r="L16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68" spans="4:12" ht="15" x14ac:dyDescent="0.2">
      <c r="D168" s="6" t="s">
        <v>80</v>
      </c>
      <c r="E168" s="6" t="s">
        <v>95</v>
      </c>
      <c r="F168" s="6">
        <f>Vértices!C163</f>
        <v>1657.5760957601021</v>
      </c>
      <c r="G168" s="17" t="str">
        <f>IF($C$2="Caminhão",Vértices!F163,"Sim")</f>
        <v>Sim</v>
      </c>
      <c r="H168" s="13" t="str">
        <f>IF(OR($C$3="Sem chuva",$I168=0), "Não",IF($D$3&gt;=Tabela12[[#This Row],[Chuva]],"Sim","Não"))</f>
        <v>Sim</v>
      </c>
      <c r="I168" s="13">
        <f>VLOOKUP(Vértices!E163,Tabela5[],2,)</f>
        <v>4</v>
      </c>
      <c r="J168" s="13" t="str">
        <f>IF(AND(Vértices!$J163="Sim",OR(Pesos!$D$4="Madrugada",Pesos!$D$4="Noite")),"Via bloqueada", "Via liberada")</f>
        <v>Via liberada</v>
      </c>
      <c r="K168" s="13">
        <f>Tabela12[[#This Row],[Distância (m)]]*((1*VLOOKUP(Vértices!$G163,Tabela7[[Classificação]:[Peso]],2,FALSE)+2*VLOOKUP(Vértices!I163,Tabela9[[Classificação]:[Peso]],2,FALSE)+3*VLOOKUP(Pesos!$C$5,Tabela11[[Classificação]:[Peso]],2,FALSE)+4*VLOOKUP(Vértices!H163,Tabela8[[Classificação]:[Peso]],2,FALSE)+5*VLOOKUP($D$3,Tabela5[[Fator Chuva]:[Peso]],2,FALSE))/15)*VLOOKUP(Vértices!G163,Tabela7[[Classificação]:[Peso]],2,FALSE)*VLOOKUP(Vértices!H163,Tabela8[[Classificação]:[Peso]],2,FALSE)*VLOOKUP(Vértices!I163,Tabela9[[Classificação]:[Peso]],2,FALSE)</f>
        <v>6340.2285662823906</v>
      </c>
      <c r="L16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69" spans="4:12" ht="15" x14ac:dyDescent="0.2">
      <c r="D169" s="9" t="s">
        <v>81</v>
      </c>
      <c r="E169" s="9" t="s">
        <v>33</v>
      </c>
      <c r="F169" s="9">
        <f>Vértices!C164</f>
        <v>6308.9161267976024</v>
      </c>
      <c r="G169" s="17" t="str">
        <f>IF($C$2="Caminhão",Vértices!F164,"Sim")</f>
        <v>Sim</v>
      </c>
      <c r="H169" s="13" t="str">
        <f>IF(OR($C$3="Sem chuva",$I169=0), "Não",IF($D$3&gt;=Tabela12[[#This Row],[Chuva]],"Sim","Não"))</f>
        <v>Não</v>
      </c>
      <c r="I169" s="13">
        <f>VLOOKUP(Vértices!E164,Tabela5[],2,)</f>
        <v>0</v>
      </c>
      <c r="J169" s="13" t="str">
        <f>IF(AND(Vértices!$J164="Sim",OR(Pesos!$D$4="Madrugada",Pesos!$D$4="Noite")),"Via bloqueada", "Via liberada")</f>
        <v>Via liberada</v>
      </c>
      <c r="K169" s="13">
        <f>Tabela12[[#This Row],[Distância (m)]]*((1*VLOOKUP(Vértices!$G164,Tabela7[[Classificação]:[Peso]],2,FALSE)+2*VLOOKUP(Vértices!I164,Tabela9[[Classificação]:[Peso]],2,FALSE)+3*VLOOKUP(Pesos!$C$5,Tabela11[[Classificação]:[Peso]],2,FALSE)+4*VLOOKUP(Vértices!H164,Tabela8[[Classificação]:[Peso]],2,FALSE)+5*VLOOKUP($D$3,Tabela5[[Fator Chuva]:[Peso]],2,FALSE))/15)*VLOOKUP(Vértices!G164,Tabela7[[Classificação]:[Peso]],2,FALSE)*VLOOKUP(Vértices!H164,Tabela8[[Classificação]:[Peso]],2,FALSE)*VLOOKUP(Vértices!I164,Tabela9[[Classificação]:[Peso]],2,FALSE)</f>
        <v>47947.762563661774</v>
      </c>
      <c r="L169" s="13">
        <f>IF(OR(Tabela12[[#This Row],[Vai poder passar?]]="Não",Tabela12[[#This Row],[Via Alagada?]]="Sim",Tabela12[[#This Row],[Criminalidade]]="Via bloqueada"), "Ignorar rota", Tabela12[[#This Row],[Peso]])</f>
        <v>47947.762563661774</v>
      </c>
    </row>
    <row r="170" spans="4:12" ht="15" x14ac:dyDescent="0.2">
      <c r="D170" s="6" t="s">
        <v>81</v>
      </c>
      <c r="E170" s="6" t="s">
        <v>40</v>
      </c>
      <c r="F170" s="6">
        <f>Vértices!C165</f>
        <v>6361.5366421146537</v>
      </c>
      <c r="G170" s="17" t="str">
        <f>IF($C$2="Caminhão",Vértices!F165,"Sim")</f>
        <v>Sim</v>
      </c>
      <c r="H170" s="13" t="str">
        <f>IF(OR($C$3="Sem chuva",$I170=0), "Não",IF($D$3&gt;=Tabela12[[#This Row],[Chuva]],"Sim","Não"))</f>
        <v>Não</v>
      </c>
      <c r="I170" s="13">
        <f>VLOOKUP(Vértices!E165,Tabela5[],2,)</f>
        <v>0</v>
      </c>
      <c r="J170" s="13" t="str">
        <f>IF(AND(Vértices!$J165="Sim",OR(Pesos!$D$4="Madrugada",Pesos!$D$4="Noite")),"Via bloqueada", "Via liberada")</f>
        <v>Via liberada</v>
      </c>
      <c r="K170" s="13">
        <f>Tabela12[[#This Row],[Distância (m)]]*((1*VLOOKUP(Vértices!$G165,Tabela7[[Classificação]:[Peso]],2,FALSE)+2*VLOOKUP(Vértices!I165,Tabela9[[Classificação]:[Peso]],2,FALSE)+3*VLOOKUP(Pesos!$C$5,Tabela11[[Classificação]:[Peso]],2,FALSE)+4*VLOOKUP(Vértices!H165,Tabela8[[Classificação]:[Peso]],2,FALSE)+5*VLOOKUP($D$3,Tabela5[[Fator Chuva]:[Peso]],2,FALSE))/15)*VLOOKUP(Vértices!G165,Tabela7[[Classificação]:[Peso]],2,FALSE)*VLOOKUP(Vértices!H165,Tabela8[[Classificação]:[Peso]],2,FALSE)*VLOOKUP(Vértices!I165,Tabela9[[Classificação]:[Peso]],2,FALSE)</f>
        <v>34988.451531630591</v>
      </c>
      <c r="L170" s="13">
        <f>IF(OR(Tabela12[[#This Row],[Vai poder passar?]]="Não",Tabela12[[#This Row],[Via Alagada?]]="Sim",Tabela12[[#This Row],[Criminalidade]]="Via bloqueada"), "Ignorar rota", Tabela12[[#This Row],[Peso]])</f>
        <v>34988.451531630591</v>
      </c>
    </row>
    <row r="171" spans="4:12" ht="15" x14ac:dyDescent="0.2">
      <c r="D171" s="9" t="s">
        <v>82</v>
      </c>
      <c r="E171" s="9" t="s">
        <v>13</v>
      </c>
      <c r="F171" s="9">
        <f>Vértices!C166</f>
        <v>11653.282779424673</v>
      </c>
      <c r="G171" s="17" t="str">
        <f>IF($C$2="Caminhão",Vértices!F166,"Sim")</f>
        <v>Não</v>
      </c>
      <c r="H171" s="13" t="str">
        <f>IF(OR($C$3="Sem chuva",$I171=0), "Não",IF($D$3&gt;=Tabela12[[#This Row],[Chuva]],"Sim","Não"))</f>
        <v>Não</v>
      </c>
      <c r="I171" s="13">
        <f>VLOOKUP(Vértices!E166,Tabela5[],2,)</f>
        <v>0</v>
      </c>
      <c r="J171" s="13" t="str">
        <f>IF(AND(Vértices!$J166="Sim",OR(Pesos!$D$4="Madrugada",Pesos!$D$4="Noite")),"Via bloqueada", "Via liberada")</f>
        <v>Via liberada</v>
      </c>
      <c r="K171" s="13">
        <f>Tabela12[[#This Row],[Distância (m)]]*((1*VLOOKUP(Vértices!$G166,Tabela7[[Classificação]:[Peso]],2,FALSE)+2*VLOOKUP(Vértices!I166,Tabela9[[Classificação]:[Peso]],2,FALSE)+3*VLOOKUP(Pesos!$C$5,Tabela11[[Classificação]:[Peso]],2,FALSE)+4*VLOOKUP(Vértices!H166,Tabela8[[Classificação]:[Peso]],2,FALSE)+5*VLOOKUP($D$3,Tabela5[[Fator Chuva]:[Peso]],2,FALSE))/15)*VLOOKUP(Vértices!G166,Tabela7[[Classificação]:[Peso]],2,FALSE)*VLOOKUP(Vértices!H166,Tabela8[[Classificação]:[Peso]],2,FALSE)*VLOOKUP(Vértices!I166,Tabela9[[Classificação]:[Peso]],2,FALSE)</f>
        <v>68171.704259634338</v>
      </c>
      <c r="L17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2" spans="4:12" ht="15" x14ac:dyDescent="0.2">
      <c r="D172" s="6" t="s">
        <v>82</v>
      </c>
      <c r="E172" s="6" t="s">
        <v>56</v>
      </c>
      <c r="F172" s="6">
        <f>Vértices!C167</f>
        <v>86383.470758135561</v>
      </c>
      <c r="G172" s="17" t="str">
        <f>IF($C$2="Caminhão",Vértices!F167,"Sim")</f>
        <v>Não</v>
      </c>
      <c r="H172" s="13" t="str">
        <f>IF(OR($C$3="Sem chuva",$I172=0), "Não",IF($D$3&gt;=Tabela12[[#This Row],[Chuva]],"Sim","Não"))</f>
        <v>Não</v>
      </c>
      <c r="I172" s="13">
        <f>VLOOKUP(Vértices!E167,Tabela5[],2,)</f>
        <v>0</v>
      </c>
      <c r="J172" s="13" t="str">
        <f>IF(AND(Vértices!$J167="Sim",OR(Pesos!$D$4="Madrugada",Pesos!$D$4="Noite")),"Via bloqueada", "Via liberada")</f>
        <v>Via liberada</v>
      </c>
      <c r="K172" s="13">
        <f>Tabela12[[#This Row],[Distância (m)]]*((1*VLOOKUP(Vértices!$G167,Tabela7[[Classificação]:[Peso]],2,FALSE)+2*VLOOKUP(Vértices!I167,Tabela9[[Classificação]:[Peso]],2,FALSE)+3*VLOOKUP(Pesos!$C$5,Tabela11[[Classificação]:[Peso]],2,FALSE)+4*VLOOKUP(Vértices!H167,Tabela8[[Classificação]:[Peso]],2,FALSE)+5*VLOOKUP($D$3,Tabela5[[Fator Chuva]:[Peso]],2,FALSE))/15)*VLOOKUP(Vértices!G167,Tabela7[[Classificação]:[Peso]],2,FALSE)*VLOOKUP(Vértices!H167,Tabela8[[Classificação]:[Peso]],2,FALSE)*VLOOKUP(Vértices!I167,Tabela9[[Classificação]:[Peso]],2,FALSE)</f>
        <v>505343.30393509311</v>
      </c>
      <c r="L17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3" spans="4:12" ht="15" x14ac:dyDescent="0.2">
      <c r="D173" s="9" t="s">
        <v>82</v>
      </c>
      <c r="E173" s="9" t="s">
        <v>86</v>
      </c>
      <c r="F173" s="9">
        <f>Vértices!C168</f>
        <v>43328.368881743772</v>
      </c>
      <c r="G173" s="17" t="str">
        <f>IF($C$2="Caminhão",Vértices!F168,"Sim")</f>
        <v>Não</v>
      </c>
      <c r="H173" s="13" t="str">
        <f>IF(OR($C$3="Sem chuva",$I173=0), "Não",IF($D$3&gt;=Tabela12[[#This Row],[Chuva]],"Sim","Não"))</f>
        <v>Não</v>
      </c>
      <c r="I173" s="13">
        <f>VLOOKUP(Vértices!E168,Tabela5[],2,)</f>
        <v>0</v>
      </c>
      <c r="J173" s="13" t="str">
        <f>IF(AND(Vértices!$J168="Sim",OR(Pesos!$D$4="Madrugada",Pesos!$D$4="Noite")),"Via bloqueada", "Via liberada")</f>
        <v>Via bloqueada</v>
      </c>
      <c r="K173" s="13">
        <f>Tabela12[[#This Row],[Distância (m)]]*((1*VLOOKUP(Vértices!$G168,Tabela7[[Classificação]:[Peso]],2,FALSE)+2*VLOOKUP(Vértices!I168,Tabela9[[Classificação]:[Peso]],2,FALSE)+3*VLOOKUP(Pesos!$C$5,Tabela11[[Classificação]:[Peso]],2,FALSE)+4*VLOOKUP(Vértices!H168,Tabela8[[Classificação]:[Peso]],2,FALSE)+5*VLOOKUP($D$3,Tabela5[[Fator Chuva]:[Peso]],2,FALSE))/15)*VLOOKUP(Vértices!G168,Tabela7[[Classificação]:[Peso]],2,FALSE)*VLOOKUP(Vértices!H168,Tabela8[[Classificação]:[Peso]],2,FALSE)*VLOOKUP(Vértices!I168,Tabela9[[Classificação]:[Peso]],2,FALSE)</f>
        <v>162481.38330653915</v>
      </c>
      <c r="L17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4" spans="4:12" ht="15" x14ac:dyDescent="0.2">
      <c r="D174" s="6" t="s">
        <v>83</v>
      </c>
      <c r="E174" s="6" t="s">
        <v>97</v>
      </c>
      <c r="F174" s="6">
        <f>Vértices!C169</f>
        <v>17774.01517962298</v>
      </c>
      <c r="G174" s="17" t="str">
        <f>IF($C$2="Caminhão",Vértices!F169,"Sim")</f>
        <v>Sim</v>
      </c>
      <c r="H174" s="13" t="str">
        <f>IF(OR($C$3="Sem chuva",$I174=0), "Não",IF($D$3&gt;=Tabela12[[#This Row],[Chuva]],"Sim","Não"))</f>
        <v>Sim</v>
      </c>
      <c r="I174" s="13">
        <f>VLOOKUP(Vértices!E169,Tabela5[],2,)</f>
        <v>4</v>
      </c>
      <c r="J174" s="13" t="str">
        <f>IF(AND(Vértices!$J169="Sim",OR(Pesos!$D$4="Madrugada",Pesos!$D$4="Noite")),"Via bloqueada", "Via liberada")</f>
        <v>Via liberada</v>
      </c>
      <c r="K174" s="13">
        <f>Tabela12[[#This Row],[Distância (m)]]*((1*VLOOKUP(Vértices!$G169,Tabela7[[Classificação]:[Peso]],2,FALSE)+2*VLOOKUP(Vértices!I169,Tabela9[[Classificação]:[Peso]],2,FALSE)+3*VLOOKUP(Pesos!$C$5,Tabela11[[Classificação]:[Peso]],2,FALSE)+4*VLOOKUP(Vértices!H169,Tabela8[[Classificação]:[Peso]],2,FALSE)+5*VLOOKUP($D$3,Tabela5[[Fator Chuva]:[Peso]],2,FALSE))/15)*VLOOKUP(Vértices!G169,Tabela7[[Classificação]:[Peso]],2,FALSE)*VLOOKUP(Vértices!H169,Tabela8[[Classificação]:[Peso]],2,FALSE)*VLOOKUP(Vértices!I169,Tabela9[[Classificação]:[Peso]],2,FALSE)</f>
        <v>67985.608062057901</v>
      </c>
      <c r="L17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5" spans="4:12" ht="15" x14ac:dyDescent="0.2">
      <c r="D175" s="9" t="s">
        <v>83</v>
      </c>
      <c r="E175" s="9" t="s">
        <v>80</v>
      </c>
      <c r="F175" s="9">
        <f>Vértices!C170</f>
        <v>2529.1360143842048</v>
      </c>
      <c r="G175" s="17" t="str">
        <f>IF($C$2="Caminhão",Vértices!F170,"Sim")</f>
        <v>Sim</v>
      </c>
      <c r="H175" s="13" t="str">
        <f>IF(OR($C$3="Sem chuva",$I175=0), "Não",IF($D$3&gt;=Tabela12[[#This Row],[Chuva]],"Sim","Não"))</f>
        <v>Sim</v>
      </c>
      <c r="I175" s="13">
        <f>VLOOKUP(Vértices!E170,Tabela5[],2,)</f>
        <v>4</v>
      </c>
      <c r="J175" s="13" t="str">
        <f>IF(AND(Vértices!$J170="Sim",OR(Pesos!$D$4="Madrugada",Pesos!$D$4="Noite")),"Via bloqueada", "Via liberada")</f>
        <v>Via liberada</v>
      </c>
      <c r="K175" s="13">
        <f>Tabela12[[#This Row],[Distância (m)]]*((1*VLOOKUP(Vértices!$G170,Tabela7[[Classificação]:[Peso]],2,FALSE)+2*VLOOKUP(Vértices!I170,Tabela9[[Classificação]:[Peso]],2,FALSE)+3*VLOOKUP(Pesos!$C$5,Tabela11[[Classificação]:[Peso]],2,FALSE)+4*VLOOKUP(Vértices!H170,Tabela8[[Classificação]:[Peso]],2,FALSE)+5*VLOOKUP($D$3,Tabela5[[Fator Chuva]:[Peso]],2,FALSE))/15)*VLOOKUP(Vértices!G170,Tabela7[[Classificação]:[Peso]],2,FALSE)*VLOOKUP(Vértices!H170,Tabela8[[Classificação]:[Peso]],2,FALSE)*VLOOKUP(Vértices!I170,Tabela9[[Classificação]:[Peso]],2,FALSE)</f>
        <v>12645.680071921024</v>
      </c>
      <c r="L17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6" spans="4:12" ht="15" x14ac:dyDescent="0.2">
      <c r="D176" s="6" t="s">
        <v>84</v>
      </c>
      <c r="E176" s="6" t="s">
        <v>62</v>
      </c>
      <c r="F176" s="6">
        <f>Vértices!C171</f>
        <v>17244.164879876</v>
      </c>
      <c r="G176" s="17" t="str">
        <f>IF($C$2="Caminhão",Vértices!F171,"Sim")</f>
        <v>Sim</v>
      </c>
      <c r="H176" s="13" t="str">
        <f>IF(OR($C$3="Sem chuva",$I176=0), "Não",IF($D$3&gt;=Tabela12[[#This Row],[Chuva]],"Sim","Não"))</f>
        <v>Sim</v>
      </c>
      <c r="I176" s="13">
        <f>VLOOKUP(Vértices!E171,Tabela5[],2,)</f>
        <v>5</v>
      </c>
      <c r="J176" s="13" t="str">
        <f>IF(AND(Vértices!$J171="Sim",OR(Pesos!$D$4="Madrugada",Pesos!$D$4="Noite")),"Via bloqueada", "Via liberada")</f>
        <v>Via liberada</v>
      </c>
      <c r="K176" s="13">
        <f>Tabela12[[#This Row],[Distância (m)]]*((1*VLOOKUP(Vértices!$G171,Tabela7[[Classificação]:[Peso]],2,FALSE)+2*VLOOKUP(Vértices!I171,Tabela9[[Classificação]:[Peso]],2,FALSE)+3*VLOOKUP(Pesos!$C$5,Tabela11[[Classificação]:[Peso]],2,FALSE)+4*VLOOKUP(Vértices!H171,Tabela8[[Classificação]:[Peso]],2,FALSE)+5*VLOOKUP($D$3,Tabela5[[Fator Chuva]:[Peso]],2,FALSE))/15)*VLOOKUP(Vértices!G171,Tabela7[[Classificação]:[Peso]],2,FALSE)*VLOOKUP(Vértices!H171,Tabela8[[Classificação]:[Peso]],2,FALSE)*VLOOKUP(Vértices!I171,Tabela9[[Classificação]:[Peso]],2,FALSE)</f>
        <v>175315.67627873935</v>
      </c>
      <c r="L17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7" spans="4:12" ht="15" x14ac:dyDescent="0.2">
      <c r="D177" s="9" t="s">
        <v>85</v>
      </c>
      <c r="E177" s="9" t="s">
        <v>64</v>
      </c>
      <c r="F177" s="9">
        <f>Vértices!C172</f>
        <v>16678.786894199297</v>
      </c>
      <c r="G177" s="17" t="str">
        <f>IF($C$2="Caminhão",Vértices!F172,"Sim")</f>
        <v>Sim</v>
      </c>
      <c r="H177" s="13" t="str">
        <f>IF(OR($C$3="Sem chuva",$I177=0), "Não",IF($D$3&gt;=Tabela12[[#This Row],[Chuva]],"Sim","Não"))</f>
        <v>Não</v>
      </c>
      <c r="I177" s="13">
        <f>VLOOKUP(Vértices!E172,Tabela5[],2,)</f>
        <v>0</v>
      </c>
      <c r="J177" s="13" t="str">
        <f>IF(AND(Vértices!$J172="Sim",OR(Pesos!$D$4="Madrugada",Pesos!$D$4="Noite")),"Via bloqueada", "Via liberada")</f>
        <v>Via liberada</v>
      </c>
      <c r="K177" s="13">
        <f>Tabela12[[#This Row],[Distância (m)]]*((1*VLOOKUP(Vértices!$G172,Tabela7[[Classificação]:[Peso]],2,FALSE)+2*VLOOKUP(Vértices!I172,Tabela9[[Classificação]:[Peso]],2,FALSE)+3*VLOOKUP(Pesos!$C$5,Tabela11[[Classificação]:[Peso]],2,FALSE)+4*VLOOKUP(Vértices!H172,Tabela8[[Classificação]:[Peso]],2,FALSE)+5*VLOOKUP($D$3,Tabela5[[Fator Chuva]:[Peso]],2,FALSE))/15)*VLOOKUP(Vértices!G172,Tabela7[[Classificação]:[Peso]],2,FALSE)*VLOOKUP(Vértices!H172,Tabela8[[Classificação]:[Peso]],2,FALSE)*VLOOKUP(Vértices!I172,Tabela9[[Classificação]:[Peso]],2,FALSE)</f>
        <v>169567.66675769282</v>
      </c>
      <c r="L177" s="13">
        <f>IF(OR(Tabela12[[#This Row],[Vai poder passar?]]="Não",Tabela12[[#This Row],[Via Alagada?]]="Sim",Tabela12[[#This Row],[Criminalidade]]="Via bloqueada"), "Ignorar rota", Tabela12[[#This Row],[Peso]])</f>
        <v>169567.66675769282</v>
      </c>
    </row>
    <row r="178" spans="4:12" ht="15" x14ac:dyDescent="0.2">
      <c r="D178" s="6" t="s">
        <v>86</v>
      </c>
      <c r="E178" s="6" t="s">
        <v>43</v>
      </c>
      <c r="F178" s="6">
        <f>Vértices!C173</f>
        <v>47967.487820324342</v>
      </c>
      <c r="G178" s="17" t="str">
        <f>IF($C$2="Caminhão",Vértices!F173,"Sim")</f>
        <v>Sim</v>
      </c>
      <c r="H178" s="13" t="str">
        <f>IF(OR($C$3="Sem chuva",$I178=0), "Não",IF($D$3&gt;=Tabela12[[#This Row],[Chuva]],"Sim","Não"))</f>
        <v>Sim</v>
      </c>
      <c r="I178" s="13">
        <f>VLOOKUP(Vértices!E173,Tabela5[],2,)</f>
        <v>4</v>
      </c>
      <c r="J178" s="13" t="str">
        <f>IF(AND(Vértices!$J173="Sim",OR(Pesos!$D$4="Madrugada",Pesos!$D$4="Noite")),"Via bloqueada", "Via liberada")</f>
        <v>Via liberada</v>
      </c>
      <c r="K178" s="13">
        <f>Tabela12[[#This Row],[Distância (m)]]*((1*VLOOKUP(Vértices!$G173,Tabela7[[Classificação]:[Peso]],2,FALSE)+2*VLOOKUP(Vértices!I173,Tabela9[[Classificação]:[Peso]],2,FALSE)+3*VLOOKUP(Pesos!$C$5,Tabela11[[Classificação]:[Peso]],2,FALSE)+4*VLOOKUP(Vértices!H173,Tabela8[[Classificação]:[Peso]],2,FALSE)+5*VLOOKUP($D$3,Tabela5[[Fator Chuva]:[Peso]],2,FALSE))/15)*VLOOKUP(Vértices!G173,Tabela7[[Classificação]:[Peso]],2,FALSE)*VLOOKUP(Vértices!H173,Tabela8[[Classificação]:[Peso]],2,FALSE)*VLOOKUP(Vértices!I173,Tabela9[[Classificação]:[Peso]],2,FALSE)</f>
        <v>556422.85871576238</v>
      </c>
      <c r="L17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79" spans="4:12" ht="15" x14ac:dyDescent="0.2">
      <c r="D179" s="9" t="s">
        <v>86</v>
      </c>
      <c r="E179" s="9" t="s">
        <v>82</v>
      </c>
      <c r="F179" s="9">
        <f>Vértices!C174</f>
        <v>43328.368881743772</v>
      </c>
      <c r="G179" s="17" t="str">
        <f>IF($C$2="Caminhão",Vértices!F174,"Sim")</f>
        <v>Não</v>
      </c>
      <c r="H179" s="13" t="str">
        <f>IF(OR($C$3="Sem chuva",$I179=0), "Não",IF($D$3&gt;=Tabela12[[#This Row],[Chuva]],"Sim","Não"))</f>
        <v>Não</v>
      </c>
      <c r="I179" s="13">
        <f>VLOOKUP(Vértices!E174,Tabela5[],2,)</f>
        <v>0</v>
      </c>
      <c r="J179" s="13" t="str">
        <f>IF(AND(Vértices!$J174="Sim",OR(Pesos!$D$4="Madrugada",Pesos!$D$4="Noite")),"Via bloqueada", "Via liberada")</f>
        <v>Via bloqueada</v>
      </c>
      <c r="K179" s="13">
        <f>Tabela12[[#This Row],[Distância (m)]]*((1*VLOOKUP(Vértices!$G174,Tabela7[[Classificação]:[Peso]],2,FALSE)+2*VLOOKUP(Vértices!I174,Tabela9[[Classificação]:[Peso]],2,FALSE)+3*VLOOKUP(Pesos!$C$5,Tabela11[[Classificação]:[Peso]],2,FALSE)+4*VLOOKUP(Vértices!H174,Tabela8[[Classificação]:[Peso]],2,FALSE)+5*VLOOKUP($D$3,Tabela5[[Fator Chuva]:[Peso]],2,FALSE))/15)*VLOOKUP(Vértices!G174,Tabela7[[Classificação]:[Peso]],2,FALSE)*VLOOKUP(Vértices!H174,Tabela8[[Classificação]:[Peso]],2,FALSE)*VLOOKUP(Vértices!I174,Tabela9[[Classificação]:[Peso]],2,FALSE)</f>
        <v>162481.38330653915</v>
      </c>
      <c r="L17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0" spans="4:12" ht="15" x14ac:dyDescent="0.2">
      <c r="D180" s="6" t="s">
        <v>86</v>
      </c>
      <c r="E180" s="6" t="s">
        <v>59</v>
      </c>
      <c r="F180" s="6">
        <f>Vértices!C175</f>
        <v>29648.366974350483</v>
      </c>
      <c r="G180" s="17" t="str">
        <f>IF($C$2="Caminhão",Vértices!F175,"Sim")</f>
        <v>Sim</v>
      </c>
      <c r="H180" s="13" t="str">
        <f>IF(OR($C$3="Sem chuva",$I180=0), "Não",IF($D$3&gt;=Tabela12[[#This Row],[Chuva]],"Sim","Não"))</f>
        <v>Sim</v>
      </c>
      <c r="I180" s="13">
        <f>VLOOKUP(Vértices!E175,Tabela5[],2,)</f>
        <v>4</v>
      </c>
      <c r="J180" s="13" t="str">
        <f>IF(AND(Vértices!$J175="Sim",OR(Pesos!$D$4="Madrugada",Pesos!$D$4="Noite")),"Via bloqueada", "Via liberada")</f>
        <v>Via liberada</v>
      </c>
      <c r="K180" s="13">
        <f>Tabela12[[#This Row],[Distância (m)]]*((1*VLOOKUP(Vértices!$G175,Tabela7[[Classificação]:[Peso]],2,FALSE)+2*VLOOKUP(Vértices!I175,Tabela9[[Classificação]:[Peso]],2,FALSE)+3*VLOOKUP(Pesos!$C$5,Tabela11[[Classificação]:[Peso]],2,FALSE)+4*VLOOKUP(Vértices!H175,Tabela8[[Classificação]:[Peso]],2,FALSE)+5*VLOOKUP($D$3,Tabela5[[Fator Chuva]:[Peso]],2,FALSE))/15)*VLOOKUP(Vértices!G175,Tabela7[[Classificação]:[Peso]],2,FALSE)*VLOOKUP(Vértices!H175,Tabela8[[Classificação]:[Peso]],2,FALSE)*VLOOKUP(Vértices!I175,Tabela9[[Classificação]:[Peso]],2,FALSE)</f>
        <v>343921.05690246564</v>
      </c>
      <c r="L18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1" spans="4:12" ht="15" x14ac:dyDescent="0.2">
      <c r="D181" s="9" t="s">
        <v>87</v>
      </c>
      <c r="E181" s="9" t="s">
        <v>98</v>
      </c>
      <c r="F181" s="9">
        <f>Vértices!C176</f>
        <v>7980.50814173239</v>
      </c>
      <c r="G181" s="17" t="str">
        <f>IF($C$2="Caminhão",Vértices!F176,"Sim")</f>
        <v>Sim</v>
      </c>
      <c r="H181" s="13" t="str">
        <f>IF(OR($C$3="Sem chuva",$I181=0), "Não",IF($D$3&gt;=Tabela12[[#This Row],[Chuva]],"Sim","Não"))</f>
        <v>Não</v>
      </c>
      <c r="I181" s="13">
        <f>VLOOKUP(Vértices!E176,Tabela5[],2,)</f>
        <v>0</v>
      </c>
      <c r="J181" s="13" t="str">
        <f>IF(AND(Vértices!$J176="Sim",OR(Pesos!$D$4="Madrugada",Pesos!$D$4="Noite")),"Via bloqueada", "Via liberada")</f>
        <v>Via liberada</v>
      </c>
      <c r="K181" s="13">
        <f>Tabela12[[#This Row],[Distância (m)]]*((1*VLOOKUP(Vértices!$G176,Tabela7[[Classificação]:[Peso]],2,FALSE)+2*VLOOKUP(Vértices!I176,Tabela9[[Classificação]:[Peso]],2,FALSE)+3*VLOOKUP(Pesos!$C$5,Tabela11[[Classificação]:[Peso]],2,FALSE)+4*VLOOKUP(Vértices!H176,Tabela8[[Classificação]:[Peso]],2,FALSE)+5*VLOOKUP($D$3,Tabela5[[Fator Chuva]:[Peso]],2,FALSE))/15)*VLOOKUP(Vértices!G176,Tabela7[[Classificação]:[Peso]],2,FALSE)*VLOOKUP(Vértices!H176,Tabela8[[Classificação]:[Peso]],2,FALSE)*VLOOKUP(Vértices!I176,Tabela9[[Classificação]:[Peso]],2,FALSE)</f>
        <v>29793.897062467589</v>
      </c>
      <c r="L181" s="13">
        <f>IF(OR(Tabela12[[#This Row],[Vai poder passar?]]="Não",Tabela12[[#This Row],[Via Alagada?]]="Sim",Tabela12[[#This Row],[Criminalidade]]="Via bloqueada"), "Ignorar rota", Tabela12[[#This Row],[Peso]])</f>
        <v>29793.897062467589</v>
      </c>
    </row>
    <row r="182" spans="4:12" ht="15" x14ac:dyDescent="0.2">
      <c r="D182" s="6" t="s">
        <v>87</v>
      </c>
      <c r="E182" s="6" t="s">
        <v>2</v>
      </c>
      <c r="F182" s="6">
        <f>Vértices!C177</f>
        <v>7689.9066569902152</v>
      </c>
      <c r="G182" s="17" t="str">
        <f>IF($C$2="Caminhão",Vértices!F177,"Sim")</f>
        <v>Sim</v>
      </c>
      <c r="H182" s="13" t="str">
        <f>IF(OR($C$3="Sem chuva",$I182=0), "Não",IF($D$3&gt;=Tabela12[[#This Row],[Chuva]],"Sim","Não"))</f>
        <v>Sim</v>
      </c>
      <c r="I182" s="13">
        <f>VLOOKUP(Vértices!E177,Tabela5[],2,)</f>
        <v>4</v>
      </c>
      <c r="J182" s="13" t="str">
        <f>IF(AND(Vértices!$J177="Sim",OR(Pesos!$D$4="Madrugada",Pesos!$D$4="Noite")),"Via bloqueada", "Via liberada")</f>
        <v>Via liberada</v>
      </c>
      <c r="K182" s="13">
        <f>Tabela12[[#This Row],[Distância (m)]]*((1*VLOOKUP(Vértices!$G177,Tabela7[[Classificação]:[Peso]],2,FALSE)+2*VLOOKUP(Vértices!I177,Tabela9[[Classificação]:[Peso]],2,FALSE)+3*VLOOKUP(Pesos!$C$5,Tabela11[[Classificação]:[Peso]],2,FALSE)+4*VLOOKUP(Vértices!H177,Tabela8[[Classificação]:[Peso]],2,FALSE)+5*VLOOKUP($D$3,Tabela5[[Fator Chuva]:[Peso]],2,FALSE))/15)*VLOOKUP(Vértices!G177,Tabela7[[Classificação]:[Peso]],2,FALSE)*VLOOKUP(Vértices!H177,Tabela8[[Classificação]:[Peso]],2,FALSE)*VLOOKUP(Vértices!I177,Tabela9[[Classificação]:[Peso]],2,FALSE)</f>
        <v>78180.717679400521</v>
      </c>
      <c r="L18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3" spans="4:12" ht="15" x14ac:dyDescent="0.2">
      <c r="D183" s="9" t="s">
        <v>88</v>
      </c>
      <c r="E183" s="9" t="s">
        <v>35</v>
      </c>
      <c r="F183" s="9">
        <f>Vértices!C178</f>
        <v>16098.816207953865</v>
      </c>
      <c r="G183" s="17" t="str">
        <f>IF($C$2="Caminhão",Vértices!F178,"Sim")</f>
        <v>Não</v>
      </c>
      <c r="H183" s="13" t="str">
        <f>IF(OR($C$3="Sem chuva",$I183=0), "Não",IF($D$3&gt;=Tabela12[[#This Row],[Chuva]],"Sim","Não"))</f>
        <v>Sim</v>
      </c>
      <c r="I183" s="13">
        <f>VLOOKUP(Vértices!E178,Tabela5[],2,)</f>
        <v>4</v>
      </c>
      <c r="J183" s="13" t="str">
        <f>IF(AND(Vértices!$J178="Sim",OR(Pesos!$D$4="Madrugada",Pesos!$D$4="Noite")),"Via bloqueada", "Via liberada")</f>
        <v>Via liberada</v>
      </c>
      <c r="K183" s="13">
        <f>Tabela12[[#This Row],[Distância (m)]]*((1*VLOOKUP(Vértices!$G178,Tabela7[[Classificação]:[Peso]],2,FALSE)+2*VLOOKUP(Vértices!I178,Tabela9[[Classificação]:[Peso]],2,FALSE)+3*VLOOKUP(Pesos!$C$5,Tabela11[[Classificação]:[Peso]],2,FALSE)+4*VLOOKUP(Vértices!H178,Tabela8[[Classificação]:[Peso]],2,FALSE)+5*VLOOKUP($D$3,Tabela5[[Fator Chuva]:[Peso]],2,FALSE))/15)*VLOOKUP(Vértices!G178,Tabela7[[Classificação]:[Peso]],2,FALSE)*VLOOKUP(Vértices!H178,Tabela8[[Classificação]:[Peso]],2,FALSE)*VLOOKUP(Vértices!I178,Tabela9[[Classificação]:[Peso]],2,FALSE)</f>
        <v>24148.224311930797</v>
      </c>
      <c r="L18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4" spans="4:12" ht="15" x14ac:dyDescent="0.2">
      <c r="D184" s="6" t="s">
        <v>88</v>
      </c>
      <c r="E184" s="6" t="s">
        <v>17</v>
      </c>
      <c r="F184" s="6">
        <f>Vértices!C179</f>
        <v>58356.821250673871</v>
      </c>
      <c r="G184" s="17" t="str">
        <f>IF($C$2="Caminhão",Vértices!F179,"Sim")</f>
        <v>Não</v>
      </c>
      <c r="H184" s="13" t="str">
        <f>IF(OR($C$3="Sem chuva",$I184=0), "Não",IF($D$3&gt;=Tabela12[[#This Row],[Chuva]],"Sim","Não"))</f>
        <v>Não</v>
      </c>
      <c r="I184" s="13">
        <f>VLOOKUP(Vértices!E179,Tabela5[],2,)</f>
        <v>0</v>
      </c>
      <c r="J184" s="13" t="str">
        <f>IF(AND(Vértices!$J179="Sim",OR(Pesos!$D$4="Madrugada",Pesos!$D$4="Noite")),"Via bloqueada", "Via liberada")</f>
        <v>Via liberada</v>
      </c>
      <c r="K184" s="13">
        <f>Tabela12[[#This Row],[Distância (m)]]*((1*VLOOKUP(Vértices!$G179,Tabela7[[Classificação]:[Peso]],2,FALSE)+2*VLOOKUP(Vértices!I179,Tabela9[[Classificação]:[Peso]],2,FALSE)+3*VLOOKUP(Pesos!$C$5,Tabela11[[Classificação]:[Peso]],2,FALSE)+4*VLOOKUP(Vértices!H179,Tabela8[[Classificação]:[Peso]],2,FALSE)+5*VLOOKUP($D$3,Tabela5[[Fator Chuva]:[Peso]],2,FALSE))/15)*VLOOKUP(Vértices!G179,Tabela7[[Classificação]:[Peso]],2,FALSE)*VLOOKUP(Vértices!H179,Tabela8[[Classificação]:[Peso]],2,FALSE)*VLOOKUP(Vértices!I179,Tabela9[[Classificação]:[Peso]],2,FALSE)</f>
        <v>134220.68887654992</v>
      </c>
      <c r="L18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5" spans="4:12" ht="15" x14ac:dyDescent="0.2">
      <c r="D185" s="9" t="s">
        <v>88</v>
      </c>
      <c r="E185" s="9" t="s">
        <v>6</v>
      </c>
      <c r="F185" s="9">
        <f>Vértices!C180</f>
        <v>1290.2360720071008</v>
      </c>
      <c r="G185" s="17" t="str">
        <f>IF($C$2="Caminhão",Vértices!F180,"Sim")</f>
        <v>Sim</v>
      </c>
      <c r="H185" s="13" t="str">
        <f>IF(OR($C$3="Sem chuva",$I185=0), "Não",IF($D$3&gt;=Tabela12[[#This Row],[Chuva]],"Sim","Não"))</f>
        <v>Não</v>
      </c>
      <c r="I185" s="13">
        <f>VLOOKUP(Vértices!E180,Tabela5[],2,)</f>
        <v>0</v>
      </c>
      <c r="J185" s="13" t="str">
        <f>IF(AND(Vértices!$J180="Sim",OR(Pesos!$D$4="Madrugada",Pesos!$D$4="Noite")),"Via bloqueada", "Via liberada")</f>
        <v>Via liberada</v>
      </c>
      <c r="K185" s="13">
        <f>Tabela12[[#This Row],[Distância (m)]]*((1*VLOOKUP(Vértices!$G180,Tabela7[[Classificação]:[Peso]],2,FALSE)+2*VLOOKUP(Vértices!I180,Tabela9[[Classificação]:[Peso]],2,FALSE)+3*VLOOKUP(Pesos!$C$5,Tabela11[[Classificação]:[Peso]],2,FALSE)+4*VLOOKUP(Vértices!H180,Tabela8[[Classificação]:[Peso]],2,FALSE)+5*VLOOKUP($D$3,Tabela5[[Fator Chuva]:[Peso]],2,FALSE))/15)*VLOOKUP(Vértices!G180,Tabela7[[Classificação]:[Peso]],2,FALSE)*VLOOKUP(Vértices!H180,Tabela8[[Classificação]:[Peso]],2,FALSE)*VLOOKUP(Vértices!I180,Tabela9[[Classificação]:[Peso]],2,FALSE)</f>
        <v>7547.8810212415383</v>
      </c>
      <c r="L185" s="13">
        <f>IF(OR(Tabela12[[#This Row],[Vai poder passar?]]="Não",Tabela12[[#This Row],[Via Alagada?]]="Sim",Tabela12[[#This Row],[Criminalidade]]="Via bloqueada"), "Ignorar rota", Tabela12[[#This Row],[Peso]])</f>
        <v>7547.8810212415383</v>
      </c>
    </row>
    <row r="186" spans="4:12" ht="15" x14ac:dyDescent="0.2">
      <c r="D186" s="6" t="s">
        <v>88</v>
      </c>
      <c r="E186" s="6" t="s">
        <v>55</v>
      </c>
      <c r="F186" s="6">
        <f>Vértices!C181</f>
        <v>25923.261015234155</v>
      </c>
      <c r="G186" s="17" t="str">
        <f>IF($C$2="Caminhão",Vértices!F181,"Sim")</f>
        <v>Sim</v>
      </c>
      <c r="H186" s="13" t="str">
        <f>IF(OR($C$3="Sem chuva",$I186=0), "Não",IF($D$3&gt;=Tabela12[[#This Row],[Chuva]],"Sim","Não"))</f>
        <v>Não</v>
      </c>
      <c r="I186" s="13">
        <f>VLOOKUP(Vértices!E181,Tabela5[],2,)</f>
        <v>0</v>
      </c>
      <c r="J186" s="13" t="str">
        <f>IF(AND(Vértices!$J181="Sim",OR(Pesos!$D$4="Madrugada",Pesos!$D$4="Noite")),"Via bloqueada", "Via liberada")</f>
        <v>Via liberada</v>
      </c>
      <c r="K186" s="13">
        <f>Tabela12[[#This Row],[Distância (m)]]*((1*VLOOKUP(Vértices!$G181,Tabela7[[Classificação]:[Peso]],2,FALSE)+2*VLOOKUP(Vértices!I181,Tabela9[[Classificação]:[Peso]],2,FALSE)+3*VLOOKUP(Pesos!$C$5,Tabela11[[Classificação]:[Peso]],2,FALSE)+4*VLOOKUP(Vértices!H181,Tabela8[[Classificação]:[Peso]],2,FALSE)+5*VLOOKUP($D$3,Tabela5[[Fator Chuva]:[Peso]],2,FALSE))/15)*VLOOKUP(Vértices!G181,Tabela7[[Classificação]:[Peso]],2,FALSE)*VLOOKUP(Vértices!H181,Tabela8[[Classificação]:[Peso]],2,FALSE)*VLOOKUP(Vértices!I181,Tabela9[[Classificação]:[Peso]],2,FALSE)</f>
        <v>300709.82777671621</v>
      </c>
      <c r="L186" s="13">
        <f>IF(OR(Tabela12[[#This Row],[Vai poder passar?]]="Não",Tabela12[[#This Row],[Via Alagada?]]="Sim",Tabela12[[#This Row],[Criminalidade]]="Via bloqueada"), "Ignorar rota", Tabela12[[#This Row],[Peso]])</f>
        <v>300709.82777671621</v>
      </c>
    </row>
    <row r="187" spans="4:12" ht="15" x14ac:dyDescent="0.2">
      <c r="D187" s="9" t="s">
        <v>89</v>
      </c>
      <c r="E187" s="9" t="s">
        <v>2</v>
      </c>
      <c r="F187" s="9">
        <f>Vértices!C182</f>
        <v>940.00104003539332</v>
      </c>
      <c r="G187" s="17" t="str">
        <f>IF($C$2="Caminhão",Vértices!F182,"Sim")</f>
        <v>Sim</v>
      </c>
      <c r="H187" s="13" t="str">
        <f>IF(OR($C$3="Sem chuva",$I187=0), "Não",IF($D$3&gt;=Tabela12[[#This Row],[Chuva]],"Sim","Não"))</f>
        <v>Sim</v>
      </c>
      <c r="I187" s="13">
        <f>VLOOKUP(Vértices!E182,Tabela5[],2,)</f>
        <v>4</v>
      </c>
      <c r="J187" s="13" t="str">
        <f>IF(AND(Vértices!$J182="Sim",OR(Pesos!$D$4="Madrugada",Pesos!$D$4="Noite")),"Via bloqueada", "Via liberada")</f>
        <v>Via liberada</v>
      </c>
      <c r="K187" s="13">
        <f>Tabela12[[#This Row],[Distância (m)]]*((1*VLOOKUP(Vértices!$G182,Tabela7[[Classificação]:[Peso]],2,FALSE)+2*VLOOKUP(Vértices!I182,Tabela9[[Classificação]:[Peso]],2,FALSE)+3*VLOOKUP(Pesos!$C$5,Tabela11[[Classificação]:[Peso]],2,FALSE)+4*VLOOKUP(Vértices!H182,Tabela8[[Classificação]:[Peso]],2,FALSE)+5*VLOOKUP($D$3,Tabela5[[Fator Chuva]:[Peso]],2,FALSE))/15)*VLOOKUP(Vértices!G182,Tabela7[[Classificação]:[Peso]],2,FALSE)*VLOOKUP(Vértices!H182,Tabela8[[Classificação]:[Peso]],2,FALSE)*VLOOKUP(Vértices!I182,Tabela9[[Classificação]:[Peso]],2,FALSE)</f>
        <v>9556.6772403598316</v>
      </c>
      <c r="L18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8" spans="4:12" ht="15" x14ac:dyDescent="0.2">
      <c r="D188" s="6" t="s">
        <v>89</v>
      </c>
      <c r="E188" s="6" t="s">
        <v>48</v>
      </c>
      <c r="F188" s="6">
        <f>Vértices!C183</f>
        <v>172.3393522381229</v>
      </c>
      <c r="G188" s="17" t="str">
        <f>IF($C$2="Caminhão",Vértices!F183,"Sim")</f>
        <v>Sim</v>
      </c>
      <c r="H188" s="13" t="str">
        <f>IF(OR($C$3="Sem chuva",$I188=0), "Não",IF($D$3&gt;=Tabela12[[#This Row],[Chuva]],"Sim","Não"))</f>
        <v>Sim</v>
      </c>
      <c r="I188" s="13">
        <f>VLOOKUP(Vértices!E183,Tabela5[],2,)</f>
        <v>4</v>
      </c>
      <c r="J188" s="13" t="str">
        <f>IF(AND(Vértices!$J183="Sim",OR(Pesos!$D$4="Madrugada",Pesos!$D$4="Noite")),"Via bloqueada", "Via liberada")</f>
        <v>Via liberada</v>
      </c>
      <c r="K188" s="13">
        <f>Tabela12[[#This Row],[Distância (m)]]*((1*VLOOKUP(Vértices!$G183,Tabela7[[Classificação]:[Peso]],2,FALSE)+2*VLOOKUP(Vértices!I183,Tabela9[[Classificação]:[Peso]],2,FALSE)+3*VLOOKUP(Pesos!$C$5,Tabela11[[Classificação]:[Peso]],2,FALSE)+4*VLOOKUP(Vértices!H183,Tabela8[[Classificação]:[Peso]],2,FALSE)+5*VLOOKUP($D$3,Tabela5[[Fator Chuva]:[Peso]],2,FALSE))/15)*VLOOKUP(Vértices!G183,Tabela7[[Classificação]:[Peso]],2,FALSE)*VLOOKUP(Vértices!H183,Tabela8[[Classificação]:[Peso]],2,FALSE)*VLOOKUP(Vértices!I183,Tabela9[[Classificação]:[Peso]],2,FALSE)</f>
        <v>1752.1167477542494</v>
      </c>
      <c r="L18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89" spans="4:12" ht="15" x14ac:dyDescent="0.2">
      <c r="D189" s="9" t="s">
        <v>90</v>
      </c>
      <c r="E189" s="9" t="s">
        <v>65</v>
      </c>
      <c r="F189" s="9">
        <f>Vértices!C184</f>
        <v>974.27162305449031</v>
      </c>
      <c r="G189" s="17" t="str">
        <f>IF($C$2="Caminhão",Vértices!F184,"Sim")</f>
        <v>Sim</v>
      </c>
      <c r="H189" s="13" t="str">
        <f>IF(OR($C$3="Sem chuva",$I189=0), "Não",IF($D$3&gt;=Tabela12[[#This Row],[Chuva]],"Sim","Não"))</f>
        <v>Sim</v>
      </c>
      <c r="I189" s="13">
        <f>VLOOKUP(Vértices!E184,Tabela5[],2,)</f>
        <v>5</v>
      </c>
      <c r="J189" s="13" t="str">
        <f>IF(AND(Vértices!$J184="Sim",OR(Pesos!$D$4="Madrugada",Pesos!$D$4="Noite")),"Via bloqueada", "Via liberada")</f>
        <v>Via liberada</v>
      </c>
      <c r="K189" s="13">
        <f>Tabela12[[#This Row],[Distância (m)]]*((1*VLOOKUP(Vértices!$G184,Tabela7[[Classificação]:[Peso]],2,FALSE)+2*VLOOKUP(Vértices!I184,Tabela9[[Classificação]:[Peso]],2,FALSE)+3*VLOOKUP(Pesos!$C$5,Tabela11[[Classificação]:[Peso]],2,FALSE)+4*VLOOKUP(Vértices!H184,Tabela8[[Classificação]:[Peso]],2,FALSE)+5*VLOOKUP($D$3,Tabela5[[Fator Chuva]:[Peso]],2,FALSE))/15)*VLOOKUP(Vértices!G184,Tabela7[[Classificação]:[Peso]],2,FALSE)*VLOOKUP(Vértices!H184,Tabela8[[Classificação]:[Peso]],2,FALSE)*VLOOKUP(Vértices!I184,Tabela9[[Classificação]:[Peso]],2,FALSE)</f>
        <v>4871.3581152724519</v>
      </c>
      <c r="L18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0" spans="4:12" ht="15" x14ac:dyDescent="0.2">
      <c r="D190" s="6" t="s">
        <v>90</v>
      </c>
      <c r="E190" s="6" t="s">
        <v>100</v>
      </c>
      <c r="F190" s="6">
        <f>Vértices!C185</f>
        <v>1896.8399279578844</v>
      </c>
      <c r="G190" s="17" t="str">
        <f>IF($C$2="Caminhão",Vértices!F185,"Sim")</f>
        <v>Não</v>
      </c>
      <c r="H190" s="13" t="str">
        <f>IF(OR($C$3="Sem chuva",$I190=0), "Não",IF($D$3&gt;=Tabela12[[#This Row],[Chuva]],"Sim","Não"))</f>
        <v>Sim</v>
      </c>
      <c r="I190" s="13">
        <f>VLOOKUP(Vértices!E185,Tabela5[],2,)</f>
        <v>5</v>
      </c>
      <c r="J190" s="13" t="str">
        <f>IF(AND(Vértices!$J185="Sim",OR(Pesos!$D$4="Madrugada",Pesos!$D$4="Noite")),"Via bloqueada", "Via liberada")</f>
        <v>Via liberada</v>
      </c>
      <c r="K190" s="13">
        <f>Tabela12[[#This Row],[Distância (m)]]*((1*VLOOKUP(Vértices!$G185,Tabela7[[Classificação]:[Peso]],2,FALSE)+2*VLOOKUP(Vértices!I185,Tabela9[[Classificação]:[Peso]],2,FALSE)+3*VLOOKUP(Pesos!$C$5,Tabela11[[Classificação]:[Peso]],2,FALSE)+4*VLOOKUP(Vértices!H185,Tabela8[[Classificação]:[Peso]],2,FALSE)+5*VLOOKUP($D$3,Tabela5[[Fator Chuva]:[Peso]],2,FALSE))/15)*VLOOKUP(Vértices!G185,Tabela7[[Classificação]:[Peso]],2,FALSE)*VLOOKUP(Vértices!H185,Tabela8[[Classificação]:[Peso]],2,FALSE)*VLOOKUP(Vértices!I185,Tabela9[[Classificação]:[Peso]],2,FALSE)</f>
        <v>11096.513578553624</v>
      </c>
      <c r="L19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1" spans="4:12" ht="15" x14ac:dyDescent="0.2">
      <c r="D191" s="9" t="s">
        <v>91</v>
      </c>
      <c r="E191" s="9" t="s">
        <v>16</v>
      </c>
      <c r="F191" s="9">
        <f>Vértices!C186</f>
        <v>2700.9664197340007</v>
      </c>
      <c r="G191" s="17" t="str">
        <f>IF($C$2="Caminhão",Vértices!F186,"Sim")</f>
        <v>Sim</v>
      </c>
      <c r="H191" s="13" t="str">
        <f>IF(OR($C$3="Sem chuva",$I191=0), "Não",IF($D$3&gt;=Tabela12[[#This Row],[Chuva]],"Sim","Não"))</f>
        <v>Não</v>
      </c>
      <c r="I191" s="13">
        <f>VLOOKUP(Vértices!E186,Tabela5[],2,)</f>
        <v>6</v>
      </c>
      <c r="J191" s="13" t="str">
        <f>IF(AND(Vértices!$J186="Sim",OR(Pesos!$D$4="Madrugada",Pesos!$D$4="Noite")),"Via bloqueada", "Via liberada")</f>
        <v>Via liberada</v>
      </c>
      <c r="K191" s="13">
        <f>Tabela12[[#This Row],[Distância (m)]]*((1*VLOOKUP(Vértices!$G186,Tabela7[[Classificação]:[Peso]],2,FALSE)+2*VLOOKUP(Vértices!I186,Tabela9[[Classificação]:[Peso]],2,FALSE)+3*VLOOKUP(Pesos!$C$5,Tabela11[[Classificação]:[Peso]],2,FALSE)+4*VLOOKUP(Vértices!H186,Tabela8[[Classificação]:[Peso]],2,FALSE)+5*VLOOKUP($D$3,Tabela5[[Fator Chuva]:[Peso]],2,FALSE))/15)*VLOOKUP(Vértices!G186,Tabela7[[Classificação]:[Peso]],2,FALSE)*VLOOKUP(Vértices!H186,Tabela8[[Classificação]:[Peso]],2,FALSE)*VLOOKUP(Vértices!I186,Tabela9[[Classificação]:[Peso]],2,FALSE)</f>
        <v>27459.825267295673</v>
      </c>
      <c r="L191" s="13">
        <f>IF(OR(Tabela12[[#This Row],[Vai poder passar?]]="Não",Tabela12[[#This Row],[Via Alagada?]]="Sim",Tabela12[[#This Row],[Criminalidade]]="Via bloqueada"), "Ignorar rota", Tabela12[[#This Row],[Peso]])</f>
        <v>27459.825267295673</v>
      </c>
    </row>
    <row r="192" spans="4:12" ht="15" x14ac:dyDescent="0.2">
      <c r="D192" s="6" t="s">
        <v>92</v>
      </c>
      <c r="E192" s="6" t="s">
        <v>73</v>
      </c>
      <c r="F192" s="6">
        <f>Vértices!C187</f>
        <v>2948.6317644945184</v>
      </c>
      <c r="G192" s="17" t="str">
        <f>IF($C$2="Caminhão",Vértices!F187,"Sim")</f>
        <v>Sim</v>
      </c>
      <c r="H192" s="13" t="str">
        <f>IF(OR($C$3="Sem chuva",$I192=0), "Não",IF($D$3&gt;=Tabela12[[#This Row],[Chuva]],"Sim","Não"))</f>
        <v>Não</v>
      </c>
      <c r="I192" s="13">
        <f>VLOOKUP(Vértices!E187,Tabela5[],2,)</f>
        <v>0</v>
      </c>
      <c r="J192" s="13" t="str">
        <f>IF(AND(Vértices!$J187="Sim",OR(Pesos!$D$4="Madrugada",Pesos!$D$4="Noite")),"Via bloqueada", "Via liberada")</f>
        <v>Via liberada</v>
      </c>
      <c r="K192" s="13">
        <f>Tabela12[[#This Row],[Distância (m)]]*((1*VLOOKUP(Vértices!$G187,Tabela7[[Classificação]:[Peso]],2,FALSE)+2*VLOOKUP(Vértices!I187,Tabela9[[Classificação]:[Peso]],2,FALSE)+3*VLOOKUP(Pesos!$C$5,Tabela11[[Classificação]:[Peso]],2,FALSE)+4*VLOOKUP(Vértices!H187,Tabela8[[Classificação]:[Peso]],2,FALSE)+5*VLOOKUP($D$3,Tabela5[[Fator Chuva]:[Peso]],2,FALSE))/15)*VLOOKUP(Vértices!G187,Tabela7[[Classificação]:[Peso]],2,FALSE)*VLOOKUP(Vértices!H187,Tabela8[[Classificação]:[Peso]],2,FALSE)*VLOOKUP(Vértices!I187,Tabela9[[Classificação]:[Peso]],2,FALSE)</f>
        <v>11278.516499191534</v>
      </c>
      <c r="L192" s="13">
        <f>IF(OR(Tabela12[[#This Row],[Vai poder passar?]]="Não",Tabela12[[#This Row],[Via Alagada?]]="Sim",Tabela12[[#This Row],[Criminalidade]]="Via bloqueada"), "Ignorar rota", Tabela12[[#This Row],[Peso]])</f>
        <v>11278.516499191534</v>
      </c>
    </row>
    <row r="193" spans="4:12" ht="15" x14ac:dyDescent="0.2">
      <c r="D193" s="9" t="s">
        <v>92</v>
      </c>
      <c r="E193" s="9" t="s">
        <v>21</v>
      </c>
      <c r="F193" s="9">
        <f>Vértices!C188</f>
        <v>1744.1861631310169</v>
      </c>
      <c r="G193" s="17" t="str">
        <f>IF($C$2="Caminhão",Vértices!F188,"Sim")</f>
        <v>Sim</v>
      </c>
      <c r="H193" s="13" t="str">
        <f>IF(OR($C$3="Sem chuva",$I193=0), "Não",IF($D$3&gt;=Tabela12[[#This Row],[Chuva]],"Sim","Não"))</f>
        <v>Sim</v>
      </c>
      <c r="I193" s="13">
        <f>VLOOKUP(Vértices!E188,Tabela5[],2,)</f>
        <v>4</v>
      </c>
      <c r="J193" s="13" t="str">
        <f>IF(AND(Vértices!$J188="Sim",OR(Pesos!$D$4="Madrugada",Pesos!$D$4="Noite")),"Via bloqueada", "Via liberada")</f>
        <v>Via liberada</v>
      </c>
      <c r="K193" s="13">
        <f>Tabela12[[#This Row],[Distância (m)]]*((1*VLOOKUP(Vértices!$G188,Tabela7[[Classificação]:[Peso]],2,FALSE)+2*VLOOKUP(Vértices!I188,Tabela9[[Classificação]:[Peso]],2,FALSE)+3*VLOOKUP(Pesos!$C$5,Tabela11[[Classificação]:[Peso]],2,FALSE)+4*VLOOKUP(Vértices!H188,Tabela8[[Classificação]:[Peso]],2,FALSE)+5*VLOOKUP($D$3,Tabela5[[Fator Chuva]:[Peso]],2,FALSE))/15)*VLOOKUP(Vértices!G188,Tabela7[[Classificação]:[Peso]],2,FALSE)*VLOOKUP(Vértices!H188,Tabela8[[Classificação]:[Peso]],2,FALSE)*VLOOKUP(Vértices!I188,Tabela9[[Classificação]:[Peso]],2,FALSE)</f>
        <v>27034.885528530762</v>
      </c>
      <c r="L19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4" spans="4:12" ht="15" x14ac:dyDescent="0.2">
      <c r="D194" s="6" t="s">
        <v>93</v>
      </c>
      <c r="E194" s="6" t="s">
        <v>83</v>
      </c>
      <c r="F194" s="6">
        <f>Vértices!C189</f>
        <v>18745.951144375973</v>
      </c>
      <c r="G194" s="17" t="str">
        <f>IF($C$2="Caminhão",Vértices!F189,"Sim")</f>
        <v>Sim</v>
      </c>
      <c r="H194" s="13" t="str">
        <f>IF(OR($C$3="Sem chuva",$I194=0), "Não",IF($D$3&gt;=Tabela12[[#This Row],[Chuva]],"Sim","Não"))</f>
        <v>Não</v>
      </c>
      <c r="I194" s="13">
        <f>VLOOKUP(Vértices!E189,Tabela5[],2,)</f>
        <v>0</v>
      </c>
      <c r="J194" s="13" t="str">
        <f>IF(AND(Vértices!$J189="Sim",OR(Pesos!$D$4="Madrugada",Pesos!$D$4="Noite")),"Via bloqueada", "Via liberada")</f>
        <v>Via liberada</v>
      </c>
      <c r="K194" s="13">
        <f>Tabela12[[#This Row],[Distância (m)]]*((1*VLOOKUP(Vértices!$G189,Tabela7[[Classificação]:[Peso]],2,FALSE)+2*VLOOKUP(Vértices!I189,Tabela9[[Classificação]:[Peso]],2,FALSE)+3*VLOOKUP(Pesos!$C$5,Tabela11[[Classificação]:[Peso]],2,FALSE)+4*VLOOKUP(Vértices!H189,Tabela8[[Classificação]:[Peso]],2,FALSE)+5*VLOOKUP($D$3,Tabela5[[Fator Chuva]:[Peso]],2,FALSE))/15)*VLOOKUP(Vértices!G189,Tabela7[[Classificação]:[Peso]],2,FALSE)*VLOOKUP(Vértices!H189,Tabela8[[Classificação]:[Peso]],2,FALSE)*VLOOKUP(Vértices!I189,Tabela9[[Classificação]:[Peso]],2,FALSE)</f>
        <v>93729.755721879861</v>
      </c>
      <c r="L194" s="13">
        <f>IF(OR(Tabela12[[#This Row],[Vai poder passar?]]="Não",Tabela12[[#This Row],[Via Alagada?]]="Sim",Tabela12[[#This Row],[Criminalidade]]="Via bloqueada"), "Ignorar rota", Tabela12[[#This Row],[Peso]])</f>
        <v>93729.755721879861</v>
      </c>
    </row>
    <row r="195" spans="4:12" ht="15" x14ac:dyDescent="0.2">
      <c r="D195" s="9" t="s">
        <v>93</v>
      </c>
      <c r="E195" s="9" t="s">
        <v>38</v>
      </c>
      <c r="F195" s="9">
        <f>Vértices!C190</f>
        <v>16388.092270340276</v>
      </c>
      <c r="G195" s="17" t="str">
        <f>IF($C$2="Caminhão",Vértices!F190,"Sim")</f>
        <v>Sim</v>
      </c>
      <c r="H195" s="13" t="str">
        <f>IF(OR($C$3="Sem chuva",$I195=0), "Não",IF($D$3&gt;=Tabela12[[#This Row],[Chuva]],"Sim","Não"))</f>
        <v>Sim</v>
      </c>
      <c r="I195" s="13">
        <f>VLOOKUP(Vértices!E190,Tabela5[],2,)</f>
        <v>4</v>
      </c>
      <c r="J195" s="13" t="str">
        <f>IF(AND(Vértices!$J190="Sim",OR(Pesos!$D$4="Madrugada",Pesos!$D$4="Noite")),"Via bloqueada", "Via liberada")</f>
        <v>Via liberada</v>
      </c>
      <c r="K195" s="13">
        <f>Tabela12[[#This Row],[Distância (m)]]*((1*VLOOKUP(Vértices!$G190,Tabela7[[Classificação]:[Peso]],2,FALSE)+2*VLOOKUP(Vértices!I190,Tabela9[[Classificação]:[Peso]],2,FALSE)+3*VLOOKUP(Pesos!$C$5,Tabela11[[Classificação]:[Peso]],2,FALSE)+4*VLOOKUP(Vértices!H190,Tabela8[[Classificação]:[Peso]],2,FALSE)+5*VLOOKUP($D$3,Tabela5[[Fator Chuva]:[Peso]],2,FALSE))/15)*VLOOKUP(Vértices!G190,Tabela7[[Classificação]:[Peso]],2,FALSE)*VLOOKUP(Vértices!H190,Tabela8[[Classificação]:[Peso]],2,FALSE)*VLOOKUP(Vértices!I190,Tabela9[[Classificação]:[Peso]],2,FALSE)</f>
        <v>166612.27141512613</v>
      </c>
      <c r="L19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6" spans="4:12" ht="15" x14ac:dyDescent="0.2">
      <c r="D196" s="6" t="s">
        <v>94</v>
      </c>
      <c r="E196" s="6" t="s">
        <v>88</v>
      </c>
      <c r="F196" s="6">
        <f>Vértices!C191</f>
        <v>17414.784748966536</v>
      </c>
      <c r="G196" s="17" t="str">
        <f>IF($C$2="Caminhão",Vértices!F191,"Sim")</f>
        <v>Não</v>
      </c>
      <c r="H196" s="13" t="str">
        <f>IF(OR($C$3="Sem chuva",$I196=0), "Não",IF($D$3&gt;=Tabela12[[#This Row],[Chuva]],"Sim","Não"))</f>
        <v>Não</v>
      </c>
      <c r="I196" s="13">
        <f>VLOOKUP(Vértices!E191,Tabela5[],2,)</f>
        <v>0</v>
      </c>
      <c r="J196" s="13" t="str">
        <f>IF(AND(Vértices!$J191="Sim",OR(Pesos!$D$4="Madrugada",Pesos!$D$4="Noite")),"Via bloqueada", "Via liberada")</f>
        <v>Via liberada</v>
      </c>
      <c r="K196" s="13">
        <f>Tabela12[[#This Row],[Distância (m)]]*((1*VLOOKUP(Vértices!$G191,Tabela7[[Classificação]:[Peso]],2,FALSE)+2*VLOOKUP(Vértices!I191,Tabela9[[Classificação]:[Peso]],2,FALSE)+3*VLOOKUP(Pesos!$C$5,Tabela11[[Classificação]:[Peso]],2,FALSE)+4*VLOOKUP(Vértices!H191,Tabela8[[Classificação]:[Peso]],2,FALSE)+5*VLOOKUP($D$3,Tabela5[[Fator Chuva]:[Peso]],2,FALSE))/15)*VLOOKUP(Vértices!G191,Tabela7[[Classificação]:[Peso]],2,FALSE)*VLOOKUP(Vértices!H191,Tabela8[[Classificação]:[Peso]],2,FALSE)*VLOOKUP(Vértices!I191,Tabela9[[Classificação]:[Peso]],2,FALSE)</f>
        <v>40054.004922623033</v>
      </c>
      <c r="L196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7" spans="4:12" ht="15" x14ac:dyDescent="0.2">
      <c r="D197" s="9" t="s">
        <v>94</v>
      </c>
      <c r="E197" s="9" t="s">
        <v>55</v>
      </c>
      <c r="F197" s="9">
        <f>Vértices!C192</f>
        <v>8511.2472889610035</v>
      </c>
      <c r="G197" s="17" t="str">
        <f>IF($C$2="Caminhão",Vértices!F192,"Sim")</f>
        <v>Não</v>
      </c>
      <c r="H197" s="13" t="str">
        <f>IF(OR($C$3="Sem chuva",$I197=0), "Não",IF($D$3&gt;=Tabela12[[#This Row],[Chuva]],"Sim","Não"))</f>
        <v>Não</v>
      </c>
      <c r="I197" s="13">
        <f>VLOOKUP(Vértices!E192,Tabela5[],2,)</f>
        <v>0</v>
      </c>
      <c r="J197" s="13" t="str">
        <f>IF(AND(Vértices!$J192="Sim",OR(Pesos!$D$4="Madrugada",Pesos!$D$4="Noite")),"Via bloqueada", "Via liberada")</f>
        <v>Via liberada</v>
      </c>
      <c r="K197" s="13">
        <f>Tabela12[[#This Row],[Distância (m)]]*((1*VLOOKUP(Vértices!$G192,Tabela7[[Classificação]:[Peso]],2,FALSE)+2*VLOOKUP(Vértices!I192,Tabela9[[Classificação]:[Peso]],2,FALSE)+3*VLOOKUP(Pesos!$C$5,Tabela11[[Classificação]:[Peso]],2,FALSE)+4*VLOOKUP(Vértices!H192,Tabela8[[Classificação]:[Peso]],2,FALSE)+5*VLOOKUP($D$3,Tabela5[[Fator Chuva]:[Peso]],2,FALSE))/15)*VLOOKUP(Vértices!G192,Tabela7[[Classificação]:[Peso]],2,FALSE)*VLOOKUP(Vértices!H192,Tabela8[[Classificação]:[Peso]],2,FALSE)*VLOOKUP(Vértices!I192,Tabela9[[Classificação]:[Peso]],2,FALSE)</f>
        <v>49790.796640421868</v>
      </c>
      <c r="L19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8" spans="4:12" ht="15" x14ac:dyDescent="0.2">
      <c r="D198" s="6" t="s">
        <v>94</v>
      </c>
      <c r="E198" s="6" t="s">
        <v>24</v>
      </c>
      <c r="F198" s="6">
        <f>Vértices!C193</f>
        <v>3202.8631443700033</v>
      </c>
      <c r="G198" s="17" t="str">
        <f>IF($C$2="Caminhão",Vértices!F193,"Sim")</f>
        <v>Não</v>
      </c>
      <c r="H198" s="13" t="str">
        <f>IF(OR($C$3="Sem chuva",$I198=0), "Não",IF($D$3&gt;=Tabela12[[#This Row],[Chuva]],"Sim","Não"))</f>
        <v>Não</v>
      </c>
      <c r="I198" s="13">
        <f>VLOOKUP(Vértices!E193,Tabela5[],2,)</f>
        <v>0</v>
      </c>
      <c r="J198" s="13" t="str">
        <f>IF(AND(Vértices!$J193="Sim",OR(Pesos!$D$4="Madrugada",Pesos!$D$4="Noite")),"Via bloqueada", "Via liberada")</f>
        <v>Via liberada</v>
      </c>
      <c r="K198" s="13">
        <f>Tabela12[[#This Row],[Distância (m)]]*((1*VLOOKUP(Vértices!$G193,Tabela7[[Classificação]:[Peso]],2,FALSE)+2*VLOOKUP(Vértices!I193,Tabela9[[Classificação]:[Peso]],2,FALSE)+3*VLOOKUP(Pesos!$C$5,Tabela11[[Classificação]:[Peso]],2,FALSE)+4*VLOOKUP(Vértices!H193,Tabela8[[Classificação]:[Peso]],2,FALSE)+5*VLOOKUP($D$3,Tabela5[[Fator Chuva]:[Peso]],2,FALSE))/15)*VLOOKUP(Vértices!G193,Tabela7[[Classificação]:[Peso]],2,FALSE)*VLOOKUP(Vértices!H193,Tabela8[[Classificação]:[Peso]],2,FALSE)*VLOOKUP(Vértices!I193,Tabela9[[Classificação]:[Peso]],2,FALSE)</f>
        <v>7366.5852320510076</v>
      </c>
      <c r="L19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199" spans="4:12" ht="15" x14ac:dyDescent="0.2">
      <c r="D199" s="9" t="s">
        <v>95</v>
      </c>
      <c r="E199" s="9" t="s">
        <v>18</v>
      </c>
      <c r="F199" s="9">
        <f>Vértices!C194</f>
        <v>629.05200647224751</v>
      </c>
      <c r="G199" s="17" t="str">
        <f>IF($C$2="Caminhão",Vértices!F194,"Sim")</f>
        <v>Sim</v>
      </c>
      <c r="H199" s="13" t="str">
        <f>IF(OR($C$3="Sem chuva",$I199=0), "Não",IF($D$3&gt;=Tabela12[[#This Row],[Chuva]],"Sim","Não"))</f>
        <v>Não</v>
      </c>
      <c r="I199" s="13">
        <f>VLOOKUP(Vértices!E194,Tabela5[],2,)</f>
        <v>0</v>
      </c>
      <c r="J199" s="13" t="str">
        <f>IF(AND(Vértices!$J194="Sim",OR(Pesos!$D$4="Madrugada",Pesos!$D$4="Noite")),"Via bloqueada", "Via liberada")</f>
        <v>Via liberada</v>
      </c>
      <c r="K199" s="13">
        <f>Tabela12[[#This Row],[Distância (m)]]*((1*VLOOKUP(Vértices!$G194,Tabela7[[Classificação]:[Peso]],2,FALSE)+2*VLOOKUP(Vértices!I194,Tabela9[[Classificação]:[Peso]],2,FALSE)+3*VLOOKUP(Pesos!$C$5,Tabela11[[Classificação]:[Peso]],2,FALSE)+4*VLOOKUP(Vértices!H194,Tabela8[[Classificação]:[Peso]],2,FALSE)+5*VLOOKUP($D$3,Tabela5[[Fator Chuva]:[Peso]],2,FALSE))/15)*VLOOKUP(Vértices!G194,Tabela7[[Classificação]:[Peso]],2,FALSE)*VLOOKUP(Vértices!H194,Tabela8[[Classificação]:[Peso]],2,FALSE)*VLOOKUP(Vértices!I194,Tabela9[[Classificação]:[Peso]],2,FALSE)</f>
        <v>2406.1239247563467</v>
      </c>
      <c r="L199" s="13">
        <f>IF(OR(Tabela12[[#This Row],[Vai poder passar?]]="Não",Tabela12[[#This Row],[Via Alagada?]]="Sim",Tabela12[[#This Row],[Criminalidade]]="Via bloqueada"), "Ignorar rota", Tabela12[[#This Row],[Peso]])</f>
        <v>2406.1239247563467</v>
      </c>
    </row>
    <row r="200" spans="4:12" ht="15" x14ac:dyDescent="0.2">
      <c r="D200" s="6" t="s">
        <v>96</v>
      </c>
      <c r="E200" s="6" t="s">
        <v>78</v>
      </c>
      <c r="F200" s="6">
        <f>Vértices!C195</f>
        <v>2136.0924825240068</v>
      </c>
      <c r="G200" s="17" t="str">
        <f>IF($C$2="Caminhão",Vértices!F195,"Sim")</f>
        <v>Sim</v>
      </c>
      <c r="H200" s="13" t="str">
        <f>IF(OR($C$3="Sem chuva",$I200=0), "Não",IF($D$3&gt;=Tabela12[[#This Row],[Chuva]],"Sim","Não"))</f>
        <v>Não</v>
      </c>
      <c r="I200" s="13">
        <f>VLOOKUP(Vértices!E195,Tabela5[],2,)</f>
        <v>0</v>
      </c>
      <c r="J200" s="13" t="str">
        <f>IF(AND(Vértices!$J195="Sim",OR(Pesos!$D$4="Madrugada",Pesos!$D$4="Noite")),"Via bloqueada", "Via liberada")</f>
        <v>Via liberada</v>
      </c>
      <c r="K200" s="13">
        <f>Tabela12[[#This Row],[Distância (m)]]*((1*VLOOKUP(Vértices!$G195,Tabela7[[Classificação]:[Peso]],2,FALSE)+2*VLOOKUP(Vértices!I195,Tabela9[[Classificação]:[Peso]],2,FALSE)+3*VLOOKUP(Pesos!$C$5,Tabela11[[Classificação]:[Peso]],2,FALSE)+4*VLOOKUP(Vértices!H195,Tabela8[[Classificação]:[Peso]],2,FALSE)+5*VLOOKUP($D$3,Tabela5[[Fator Chuva]:[Peso]],2,FALSE))/15)*VLOOKUP(Vértices!G195,Tabela7[[Classificação]:[Peso]],2,FALSE)*VLOOKUP(Vértices!H195,Tabela8[[Classificação]:[Peso]],2,FALSE)*VLOOKUP(Vértices!I195,Tabela9[[Classificação]:[Peso]],2,FALSE)</f>
        <v>17302.349108444454</v>
      </c>
      <c r="L200" s="13">
        <f>IF(OR(Tabela12[[#This Row],[Vai poder passar?]]="Não",Tabela12[[#This Row],[Via Alagada?]]="Sim",Tabela12[[#This Row],[Criminalidade]]="Via bloqueada"), "Ignorar rota", Tabela12[[#This Row],[Peso]])</f>
        <v>17302.349108444454</v>
      </c>
    </row>
    <row r="201" spans="4:12" ht="15" x14ac:dyDescent="0.2">
      <c r="D201" s="9" t="s">
        <v>96</v>
      </c>
      <c r="E201" s="9" t="s">
        <v>33</v>
      </c>
      <c r="F201" s="9">
        <f>Vértices!C196</f>
        <v>29365.325582664274</v>
      </c>
      <c r="G201" s="17" t="str">
        <f>IF($C$2="Caminhão",Vértices!F196,"Sim")</f>
        <v>Sim</v>
      </c>
      <c r="H201" s="13" t="str">
        <f>IF(OR($C$3="Sem chuva",$I201=0), "Não",IF($D$3&gt;=Tabela12[[#This Row],[Chuva]],"Sim","Não"))</f>
        <v>Não</v>
      </c>
      <c r="I201" s="13">
        <f>VLOOKUP(Vértices!E196,Tabela5[],2,)</f>
        <v>0</v>
      </c>
      <c r="J201" s="13" t="str">
        <f>IF(AND(Vértices!$J196="Sim",OR(Pesos!$D$4="Madrugada",Pesos!$D$4="Noite")),"Via bloqueada", "Via liberada")</f>
        <v>Via liberada</v>
      </c>
      <c r="K201" s="13">
        <f>Tabela12[[#This Row],[Distância (m)]]*((1*VLOOKUP(Vértices!$G196,Tabela7[[Classificação]:[Peso]],2,FALSE)+2*VLOOKUP(Vértices!I196,Tabela9[[Classificação]:[Peso]],2,FALSE)+3*VLOOKUP(Pesos!$C$5,Tabela11[[Classificação]:[Peso]],2,FALSE)+4*VLOOKUP(Vértices!H196,Tabela8[[Classificação]:[Peso]],2,FALSE)+5*VLOOKUP($D$3,Tabela5[[Fator Chuva]:[Peso]],2,FALSE))/15)*VLOOKUP(Vértices!G196,Tabela7[[Classificação]:[Peso]],2,FALSE)*VLOOKUP(Vértices!H196,Tabela8[[Classificação]:[Peso]],2,FALSE)*VLOOKUP(Vértices!I196,Tabela9[[Classificação]:[Peso]],2,FALSE)</f>
        <v>155636.22558812064</v>
      </c>
      <c r="L201" s="13">
        <f>IF(OR(Tabela12[[#This Row],[Vai poder passar?]]="Não",Tabela12[[#This Row],[Via Alagada?]]="Sim",Tabela12[[#This Row],[Criminalidade]]="Via bloqueada"), "Ignorar rota", Tabela12[[#This Row],[Peso]])</f>
        <v>155636.22558812064</v>
      </c>
    </row>
    <row r="202" spans="4:12" ht="15" x14ac:dyDescent="0.2">
      <c r="D202" s="6" t="s">
        <v>97</v>
      </c>
      <c r="E202" s="6" t="s">
        <v>96</v>
      </c>
      <c r="F202" s="6">
        <f>Vértices!C197</f>
        <v>18883.443947957297</v>
      </c>
      <c r="G202" s="17" t="str">
        <f>IF($C$2="Caminhão",Vértices!F197,"Sim")</f>
        <v>Sim</v>
      </c>
      <c r="H202" s="13" t="str">
        <f>IF(OR($C$3="Sem chuva",$I202=0), "Não",IF($D$3&gt;=Tabela12[[#This Row],[Chuva]],"Sim","Não"))</f>
        <v>Não</v>
      </c>
      <c r="I202" s="13">
        <f>VLOOKUP(Vértices!E197,Tabela5[],2,)</f>
        <v>6</v>
      </c>
      <c r="J202" s="13" t="str">
        <f>IF(AND(Vértices!$J197="Sim",OR(Pesos!$D$4="Madrugada",Pesos!$D$4="Noite")),"Via bloqueada", "Via liberada")</f>
        <v>Via liberada</v>
      </c>
      <c r="K202" s="13">
        <f>Tabela12[[#This Row],[Distância (m)]]*((1*VLOOKUP(Vértices!$G197,Tabela7[[Classificação]:[Peso]],2,FALSE)+2*VLOOKUP(Vértices!I197,Tabela9[[Classificação]:[Peso]],2,FALSE)+3*VLOOKUP(Pesos!$C$5,Tabela11[[Classificação]:[Peso]],2,FALSE)+4*VLOOKUP(Vértices!H197,Tabela8[[Classificação]:[Peso]],2,FALSE)+5*VLOOKUP($D$3,Tabela5[[Fator Chuva]:[Peso]],2,FALSE))/15)*VLOOKUP(Vértices!G197,Tabela7[[Classificação]:[Peso]],2,FALSE)*VLOOKUP(Vértices!H197,Tabela8[[Classificação]:[Peso]],2,FALSE)*VLOOKUP(Vértices!I197,Tabela9[[Classificação]:[Peso]],2,FALSE)</f>
        <v>110468.1470955502</v>
      </c>
      <c r="L202" s="13">
        <f>IF(OR(Tabela12[[#This Row],[Vai poder passar?]]="Não",Tabela12[[#This Row],[Via Alagada?]]="Sim",Tabela12[[#This Row],[Criminalidade]]="Via bloqueada"), "Ignorar rota", Tabela12[[#This Row],[Peso]])</f>
        <v>110468.1470955502</v>
      </c>
    </row>
    <row r="203" spans="4:12" ht="15" x14ac:dyDescent="0.2">
      <c r="D203" s="9" t="s">
        <v>98</v>
      </c>
      <c r="E203" s="9" t="s">
        <v>78</v>
      </c>
      <c r="F203" s="9">
        <f>Vértices!C198</f>
        <v>12714.503577760584</v>
      </c>
      <c r="G203" s="17" t="str">
        <f>IF($C$2="Caminhão",Vértices!F198,"Sim")</f>
        <v>Sim</v>
      </c>
      <c r="H203" s="13" t="str">
        <f>IF(OR($C$3="Sem chuva",$I203=0), "Não",IF($D$3&gt;=Tabela12[[#This Row],[Chuva]],"Sim","Não"))</f>
        <v>Não</v>
      </c>
      <c r="I203" s="13">
        <f>VLOOKUP(Vértices!E198,Tabela5[],2,)</f>
        <v>0</v>
      </c>
      <c r="J203" s="13" t="str">
        <f>IF(AND(Vértices!$J198="Sim",OR(Pesos!$D$4="Madrugada",Pesos!$D$4="Noite")),"Via bloqueada", "Via liberada")</f>
        <v>Via liberada</v>
      </c>
      <c r="K203" s="13">
        <f>Tabela12[[#This Row],[Distância (m)]]*((1*VLOOKUP(Vértices!$G198,Tabela7[[Classificação]:[Peso]],2,FALSE)+2*VLOOKUP(Vértices!I198,Tabela9[[Classificação]:[Peso]],2,FALSE)+3*VLOOKUP(Pesos!$C$5,Tabela11[[Classificação]:[Peso]],2,FALSE)+4*VLOOKUP(Vértices!H198,Tabela8[[Classificação]:[Peso]],2,FALSE)+5*VLOOKUP($D$3,Tabela5[[Fator Chuva]:[Peso]],2,FALSE))/15)*VLOOKUP(Vértices!G198,Tabela7[[Classificação]:[Peso]],2,FALSE)*VLOOKUP(Vértices!H198,Tabela8[[Classificação]:[Peso]],2,FALSE)*VLOOKUP(Vértices!I198,Tabela9[[Classificação]:[Peso]],2,FALSE)</f>
        <v>102987.47897986072</v>
      </c>
      <c r="L203" s="13">
        <f>IF(OR(Tabela12[[#This Row],[Vai poder passar?]]="Não",Tabela12[[#This Row],[Via Alagada?]]="Sim",Tabela12[[#This Row],[Criminalidade]]="Via bloqueada"), "Ignorar rota", Tabela12[[#This Row],[Peso]])</f>
        <v>102987.47897986072</v>
      </c>
    </row>
    <row r="204" spans="4:12" ht="15" x14ac:dyDescent="0.2">
      <c r="D204" s="6" t="s">
        <v>98</v>
      </c>
      <c r="E204" s="6" t="s">
        <v>89</v>
      </c>
      <c r="F204" s="6">
        <f>Vértices!C199</f>
        <v>655.69528099639592</v>
      </c>
      <c r="G204" s="17" t="str">
        <f>IF($C$2="Caminhão",Vértices!F199,"Sim")</f>
        <v>Sim</v>
      </c>
      <c r="H204" s="13" t="str">
        <f>IF(OR($C$3="Sem chuva",$I204=0), "Não",IF($D$3&gt;=Tabela12[[#This Row],[Chuva]],"Sim","Não"))</f>
        <v>Não</v>
      </c>
      <c r="I204" s="13">
        <f>VLOOKUP(Vértices!E199,Tabela5[],2,)</f>
        <v>0</v>
      </c>
      <c r="J204" s="13" t="str">
        <f>IF(AND(Vértices!$J199="Sim",OR(Pesos!$D$4="Madrugada",Pesos!$D$4="Noite")),"Via bloqueada", "Via liberada")</f>
        <v>Via liberada</v>
      </c>
      <c r="K204" s="13">
        <f>Tabela12[[#This Row],[Distância (m)]]*((1*VLOOKUP(Vértices!$G199,Tabela7[[Classificação]:[Peso]],2,FALSE)+2*VLOOKUP(Vértices!I199,Tabela9[[Classificação]:[Peso]],2,FALSE)+3*VLOOKUP(Pesos!$C$5,Tabela11[[Classificação]:[Peso]],2,FALSE)+4*VLOOKUP(Vértices!H199,Tabela8[[Classificação]:[Peso]],2,FALSE)+5*VLOOKUP($D$3,Tabela5[[Fator Chuva]:[Peso]],2,FALSE))/15)*VLOOKUP(Vértices!G199,Tabela7[[Classificação]:[Peso]],2,FALSE)*VLOOKUP(Vértices!H199,Tabela8[[Classificação]:[Peso]],2,FALSE)*VLOOKUP(Vértices!I199,Tabela9[[Classificação]:[Peso]],2,FALSE)</f>
        <v>3278.4764049819796</v>
      </c>
      <c r="L204" s="13">
        <f>IF(OR(Tabela12[[#This Row],[Vai poder passar?]]="Não",Tabela12[[#This Row],[Via Alagada?]]="Sim",Tabela12[[#This Row],[Criminalidade]]="Via bloqueada"), "Ignorar rota", Tabela12[[#This Row],[Peso]])</f>
        <v>3278.4764049819796</v>
      </c>
    </row>
    <row r="205" spans="4:12" ht="15" x14ac:dyDescent="0.2">
      <c r="D205" s="9" t="s">
        <v>99</v>
      </c>
      <c r="E205" s="9" t="s">
        <v>39</v>
      </c>
      <c r="F205" s="9">
        <f>Vértices!C200</f>
        <v>17259.295905941792</v>
      </c>
      <c r="G205" s="17" t="str">
        <f>IF($C$2="Caminhão",Vértices!F200,"Sim")</f>
        <v>Sim</v>
      </c>
      <c r="H205" s="13" t="str">
        <f>IF(OR($C$3="Sem chuva",$I205=0), "Não",IF($D$3&gt;=Tabela12[[#This Row],[Chuva]],"Sim","Não"))</f>
        <v>Sim</v>
      </c>
      <c r="I205" s="13">
        <f>VLOOKUP(Vértices!E200,Tabela5[],2,)</f>
        <v>4</v>
      </c>
      <c r="J205" s="13" t="str">
        <f>IF(AND(Vértices!$J200="Sim",OR(Pesos!$D$4="Madrugada",Pesos!$D$4="Noite")),"Via bloqueada", "Via liberada")</f>
        <v>Via liberada</v>
      </c>
      <c r="K205" s="13">
        <f>Tabela12[[#This Row],[Distância (m)]]*((1*VLOOKUP(Vértices!$G200,Tabela7[[Classificação]:[Peso]],2,FALSE)+2*VLOOKUP(Vértices!I200,Tabela9[[Classificação]:[Peso]],2,FALSE)+3*VLOOKUP(Pesos!$C$5,Tabela11[[Classificação]:[Peso]],2,FALSE)+4*VLOOKUP(Vértices!H200,Tabela8[[Classificação]:[Peso]],2,FALSE)+5*VLOOKUP($D$3,Tabela5[[Fator Chuva]:[Peso]],2,FALSE))/15)*VLOOKUP(Vértices!G200,Tabela7[[Classificação]:[Peso]],2,FALSE)*VLOOKUP(Vértices!H200,Tabela8[[Classificação]:[Peso]],2,FALSE)*VLOOKUP(Vértices!I200,Tabela9[[Classificação]:[Peso]],2,FALSE)</f>
        <v>267519.08654209779</v>
      </c>
      <c r="L205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06" spans="4:12" ht="15" x14ac:dyDescent="0.2">
      <c r="D206" s="6" t="s">
        <v>99</v>
      </c>
      <c r="E206" s="6" t="s">
        <v>61</v>
      </c>
      <c r="F206" s="6">
        <f>Vértices!C201</f>
        <v>12338.505797337002</v>
      </c>
      <c r="G206" s="17" t="str">
        <f>IF($C$2="Caminhão",Vértices!F201,"Sim")</f>
        <v>Sim</v>
      </c>
      <c r="H206" s="13" t="str">
        <f>IF(OR($C$3="Sem chuva",$I206=0), "Não",IF($D$3&gt;=Tabela12[[#This Row],[Chuva]],"Sim","Não"))</f>
        <v>Não</v>
      </c>
      <c r="I206" s="13">
        <f>VLOOKUP(Vértices!E201,Tabela5[],2,)</f>
        <v>6</v>
      </c>
      <c r="J206" s="13" t="str">
        <f>IF(AND(Vértices!$J201="Sim",OR(Pesos!$D$4="Madrugada",Pesos!$D$4="Noite")),"Via bloqueada", "Via liberada")</f>
        <v>Via liberada</v>
      </c>
      <c r="K206" s="13">
        <f>Tabela12[[#This Row],[Distância (m)]]*((1*VLOOKUP(Vértices!$G201,Tabela7[[Classificação]:[Peso]],2,FALSE)+2*VLOOKUP(Vértices!I201,Tabela9[[Classificação]:[Peso]],2,FALSE)+3*VLOOKUP(Pesos!$C$5,Tabela11[[Classificação]:[Peso]],2,FALSE)+4*VLOOKUP(Vértices!H201,Tabela8[[Classificação]:[Peso]],2,FALSE)+5*VLOOKUP($D$3,Tabela5[[Fator Chuva]:[Peso]],2,FALSE))/15)*VLOOKUP(Vértices!G201,Tabela7[[Classificação]:[Peso]],2,FALSE)*VLOOKUP(Vértices!H201,Tabela8[[Classificação]:[Peso]],2,FALSE)*VLOOKUP(Vértices!I201,Tabela9[[Classificação]:[Peso]],2,FALSE)</f>
        <v>93772.644059761209</v>
      </c>
      <c r="L206" s="13">
        <f>IF(OR(Tabela12[[#This Row],[Vai poder passar?]]="Não",Tabela12[[#This Row],[Via Alagada?]]="Sim",Tabela12[[#This Row],[Criminalidade]]="Via bloqueada"), "Ignorar rota", Tabela12[[#This Row],[Peso]])</f>
        <v>93772.644059761209</v>
      </c>
    </row>
    <row r="207" spans="4:12" ht="15" x14ac:dyDescent="0.2">
      <c r="D207" s="9" t="s">
        <v>100</v>
      </c>
      <c r="E207" s="9" t="s">
        <v>90</v>
      </c>
      <c r="F207" s="9">
        <f>Vértices!C202</f>
        <v>1896.8399279578844</v>
      </c>
      <c r="G207" s="17" t="str">
        <f>IF($C$2="Caminhão",Vértices!F202,"Sim")</f>
        <v>Não</v>
      </c>
      <c r="H207" s="13" t="str">
        <f>IF(OR($C$3="Sem chuva",$I207=0), "Não",IF($D$3&gt;=Tabela12[[#This Row],[Chuva]],"Sim","Não"))</f>
        <v>Sim</v>
      </c>
      <c r="I207" s="13">
        <f>VLOOKUP(Vértices!E202,Tabela5[],2,)</f>
        <v>5</v>
      </c>
      <c r="J207" s="13" t="str">
        <f>IF(AND(Vértices!$J202="Sim",OR(Pesos!$D$4="Madrugada",Pesos!$D$4="Noite")),"Via bloqueada", "Via liberada")</f>
        <v>Via liberada</v>
      </c>
      <c r="K207" s="13">
        <f>Tabela12[[#This Row],[Distância (m)]]*((1*VLOOKUP(Vértices!$G202,Tabela7[[Classificação]:[Peso]],2,FALSE)+2*VLOOKUP(Vértices!I202,Tabela9[[Classificação]:[Peso]],2,FALSE)+3*VLOOKUP(Pesos!$C$5,Tabela11[[Classificação]:[Peso]],2,FALSE)+4*VLOOKUP(Vértices!H202,Tabela8[[Classificação]:[Peso]],2,FALSE)+5*VLOOKUP($D$3,Tabela5[[Fator Chuva]:[Peso]],2,FALSE))/15)*VLOOKUP(Vértices!G202,Tabela7[[Classificação]:[Peso]],2,FALSE)*VLOOKUP(Vértices!H202,Tabela8[[Classificação]:[Peso]],2,FALSE)*VLOOKUP(Vértices!I202,Tabela9[[Classificação]:[Peso]],2,FALSE)</f>
        <v>11096.513578553624</v>
      </c>
      <c r="L20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08" spans="4:12" ht="15" x14ac:dyDescent="0.2">
      <c r="D208" s="6" t="s">
        <v>100</v>
      </c>
      <c r="E208" s="6" t="s">
        <v>41</v>
      </c>
      <c r="F208" s="6">
        <f>Vértices!C203</f>
        <v>8851.872419097208</v>
      </c>
      <c r="G208" s="17" t="str">
        <f>IF($C$2="Caminhão",Vértices!F203,"Sim")</f>
        <v>Não</v>
      </c>
      <c r="H208" s="13" t="str">
        <f>IF(OR($C$3="Sem chuva",$I208=0), "Não",IF($D$3&gt;=Tabela12[[#This Row],[Chuva]],"Sim","Não"))</f>
        <v>Não</v>
      </c>
      <c r="I208" s="13">
        <f>VLOOKUP(Vértices!E203,Tabela5[],2,)</f>
        <v>0</v>
      </c>
      <c r="J208" s="13" t="str">
        <f>IF(AND(Vértices!$J203="Sim",OR(Pesos!$D$4="Madrugada",Pesos!$D$4="Noite")),"Via bloqueada", "Via liberada")</f>
        <v>Via liberada</v>
      </c>
      <c r="K208" s="13">
        <f>Tabela12[[#This Row],[Distância (m)]]*((1*VLOOKUP(Vértices!$G203,Tabela7[[Classificação]:[Peso]],2,FALSE)+2*VLOOKUP(Vértices!I203,Tabela9[[Classificação]:[Peso]],2,FALSE)+3*VLOOKUP(Pesos!$C$5,Tabela11[[Classificação]:[Peso]],2,FALSE)+4*VLOOKUP(Vértices!H203,Tabela8[[Classificação]:[Peso]],2,FALSE)+5*VLOOKUP($D$3,Tabela5[[Fator Chuva]:[Peso]],2,FALSE))/15)*VLOOKUP(Vértices!G203,Tabela7[[Classificação]:[Peso]],2,FALSE)*VLOOKUP(Vértices!H203,Tabela8[[Classificação]:[Peso]],2,FALSE)*VLOOKUP(Vértices!I203,Tabela9[[Classificação]:[Peso]],2,FALSE)</f>
        <v>20359.306563923579</v>
      </c>
      <c r="L20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09" spans="4:12" ht="15" x14ac:dyDescent="0.2">
      <c r="D209" s="9" t="s">
        <v>100</v>
      </c>
      <c r="E209" s="9" t="s">
        <v>51</v>
      </c>
      <c r="F209" s="9">
        <f>Vértices!C204</f>
        <v>6375.3511463993827</v>
      </c>
      <c r="G209" s="17" t="str">
        <f>IF($C$2="Caminhão",Vértices!F204,"Sim")</f>
        <v>Sim</v>
      </c>
      <c r="H209" s="13" t="str">
        <f>IF(OR($C$3="Sem chuva",$I209=0), "Não",IF($D$3&gt;=Tabela12[[#This Row],[Chuva]],"Sim","Não"))</f>
        <v>Sim</v>
      </c>
      <c r="I209" s="13">
        <f>VLOOKUP(Vértices!E204,Tabela5[],2,)</f>
        <v>5</v>
      </c>
      <c r="J209" s="13" t="str">
        <f>IF(AND(Vértices!$J204="Sim",OR(Pesos!$D$4="Madrugada",Pesos!$D$4="Noite")),"Via bloqueada", "Via liberada")</f>
        <v>Via liberada</v>
      </c>
      <c r="K209" s="13">
        <f>Tabela12[[#This Row],[Distância (m)]]*((1*VLOOKUP(Vértices!$G204,Tabela7[[Classificação]:[Peso]],2,FALSE)+2*VLOOKUP(Vértices!I204,Tabela9[[Classificação]:[Peso]],2,FALSE)+3*VLOOKUP(Pesos!$C$5,Tabela11[[Classificação]:[Peso]],2,FALSE)+4*VLOOKUP(Vértices!H204,Tabela8[[Classificação]:[Peso]],2,FALSE)+5*VLOOKUP($D$3,Tabela5[[Fator Chuva]:[Peso]],2,FALSE))/15)*VLOOKUP(Vértices!G204,Tabela7[[Classificação]:[Peso]],2,FALSE)*VLOOKUP(Vértices!H204,Tabela8[[Classificação]:[Peso]],2,FALSE)*VLOOKUP(Vértices!I204,Tabela9[[Classificação]:[Peso]],2,FALSE)</f>
        <v>64816.06998839372</v>
      </c>
      <c r="L209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0" spans="4:12" ht="15" x14ac:dyDescent="0.2">
      <c r="D210" s="6" t="s">
        <v>101</v>
      </c>
      <c r="E210" s="6" t="s">
        <v>44</v>
      </c>
      <c r="F210" s="6">
        <f>Vértices!C205</f>
        <v>6818.3676466158231</v>
      </c>
      <c r="G210" s="17" t="str">
        <f>IF($C$2="Caminhão",Vértices!F205,"Sim")</f>
        <v>Sim</v>
      </c>
      <c r="H210" s="13" t="str">
        <f>IF(OR($C$3="Sem chuva",$I210=0), "Não",IF($D$3&gt;=Tabela12[[#This Row],[Chuva]],"Sim","Não"))</f>
        <v>Sim</v>
      </c>
      <c r="I210" s="13">
        <f>VLOOKUP(Vértices!E205,Tabela5[],2,)</f>
        <v>4</v>
      </c>
      <c r="J210" s="13" t="str">
        <f>IF(AND(Vértices!$J205="Sim",OR(Pesos!$D$4="Madrugada",Pesos!$D$4="Noite")),"Via bloqueada", "Via liberada")</f>
        <v>Via liberada</v>
      </c>
      <c r="K210" s="13">
        <f>Tabela12[[#This Row],[Distância (m)]]*((1*VLOOKUP(Vértices!$G205,Tabela7[[Classificação]:[Peso]],2,FALSE)+2*VLOOKUP(Vértices!I205,Tabela9[[Classificação]:[Peso]],2,FALSE)+3*VLOOKUP(Pesos!$C$5,Tabela11[[Classificação]:[Peso]],2,FALSE)+4*VLOOKUP(Vértices!H205,Tabela8[[Classificação]:[Peso]],2,FALSE)+5*VLOOKUP($D$3,Tabela5[[Fator Chuva]:[Peso]],2,FALSE))/15)*VLOOKUP(Vértices!G205,Tabela7[[Classificação]:[Peso]],2,FALSE)*VLOOKUP(Vértices!H205,Tabela8[[Classificação]:[Peso]],2,FALSE)*VLOOKUP(Vértices!I205,Tabela9[[Classificação]:[Peso]],2,FALSE)</f>
        <v>69320.071073927524</v>
      </c>
      <c r="L210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1" spans="4:12" ht="15" x14ac:dyDescent="0.2">
      <c r="D211" s="9" t="s">
        <v>102</v>
      </c>
      <c r="E211" s="9" t="s">
        <v>34</v>
      </c>
      <c r="F211" s="9">
        <f>Vértices!C206</f>
        <v>821.93167807641612</v>
      </c>
      <c r="G211" s="17" t="str">
        <f>IF($C$2="Caminhão",Vértices!F206,"Sim")</f>
        <v>Sim</v>
      </c>
      <c r="H211" s="13" t="str">
        <f>IF(OR($C$3="Sem chuva",$I211=0), "Não",IF($D$3&gt;=Tabela12[[#This Row],[Chuva]],"Sim","Não"))</f>
        <v>Sim</v>
      </c>
      <c r="I211" s="13">
        <f>VLOOKUP(Vértices!E206,Tabela5[],2,)</f>
        <v>4</v>
      </c>
      <c r="J211" s="13" t="str">
        <f>IF(AND(Vértices!$J206="Sim",OR(Pesos!$D$4="Madrugada",Pesos!$D$4="Noite")),"Via bloqueada", "Via liberada")</f>
        <v>Via liberada</v>
      </c>
      <c r="K211" s="13">
        <f>Tabela12[[#This Row],[Distância (m)]]*((1*VLOOKUP(Vértices!$G206,Tabela7[[Classificação]:[Peso]],2,FALSE)+2*VLOOKUP(Vértices!I206,Tabela9[[Classificação]:[Peso]],2,FALSE)+3*VLOOKUP(Pesos!$C$5,Tabela11[[Classificação]:[Peso]],2,FALSE)+4*VLOOKUP(Vértices!H206,Tabela8[[Classificação]:[Peso]],2,FALSE)+5*VLOOKUP($D$3,Tabela5[[Fator Chuva]:[Peso]],2,FALSE))/15)*VLOOKUP(Vértices!G206,Tabela7[[Classificação]:[Peso]],2,FALSE)*VLOOKUP(Vértices!H206,Tabela8[[Classificação]:[Peso]],2,FALSE)*VLOOKUP(Vértices!I206,Tabela9[[Classificação]:[Peso]],2,FALSE)</f>
        <v>9534.4074656864268</v>
      </c>
      <c r="L21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2" spans="4:12" ht="15" x14ac:dyDescent="0.2">
      <c r="D212" s="6" t="s">
        <v>102</v>
      </c>
      <c r="E212" s="6" t="s">
        <v>58</v>
      </c>
      <c r="F212" s="6">
        <f>Vértices!C207</f>
        <v>35579.384237051905</v>
      </c>
      <c r="G212" s="17" t="str">
        <f>IF($C$2="Caminhão",Vértices!F207,"Sim")</f>
        <v>Sim</v>
      </c>
      <c r="H212" s="13" t="str">
        <f>IF(OR($C$3="Sem chuva",$I212=0), "Não",IF($D$3&gt;=Tabela12[[#This Row],[Chuva]],"Sim","Não"))</f>
        <v>Sim</v>
      </c>
      <c r="I212" s="13">
        <f>VLOOKUP(Vértices!E207,Tabela5[],2,)</f>
        <v>4</v>
      </c>
      <c r="J212" s="13" t="str">
        <f>IF(AND(Vértices!$J207="Sim",OR(Pesos!$D$4="Madrugada",Pesos!$D$4="Noite")),"Via bloqueada", "Via liberada")</f>
        <v>Via liberada</v>
      </c>
      <c r="K212" s="13">
        <f>Tabela12[[#This Row],[Distância (m)]]*((1*VLOOKUP(Vértices!$G207,Tabela7[[Classificação]:[Peso]],2,FALSE)+2*VLOOKUP(Vértices!I207,Tabela9[[Classificação]:[Peso]],2,FALSE)+3*VLOOKUP(Pesos!$C$5,Tabela11[[Classificação]:[Peso]],2,FALSE)+4*VLOOKUP(Vértices!H207,Tabela8[[Classificação]:[Peso]],2,FALSE)+5*VLOOKUP($D$3,Tabela5[[Fator Chuva]:[Peso]],2,FALSE))/15)*VLOOKUP(Vértices!G207,Tabela7[[Classificação]:[Peso]],2,FALSE)*VLOOKUP(Vértices!H207,Tabela8[[Classificação]:[Peso]],2,FALSE)*VLOOKUP(Vértices!I207,Tabela9[[Classificação]:[Peso]],2,FALSE)</f>
        <v>195686.61330378547</v>
      </c>
      <c r="L21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3" spans="4:12" ht="15" x14ac:dyDescent="0.2">
      <c r="D213" s="9" t="s">
        <v>103</v>
      </c>
      <c r="E213" s="9" t="s">
        <v>31</v>
      </c>
      <c r="F213" s="9">
        <f>Vértices!C208</f>
        <v>29547.569374060698</v>
      </c>
      <c r="G213" s="17" t="str">
        <f>IF($C$2="Caminhão",Vértices!F208,"Sim")</f>
        <v>Sim</v>
      </c>
      <c r="H213" s="13" t="str">
        <f>IF(OR($C$3="Sem chuva",$I213=0), "Não",IF($D$3&gt;=Tabela12[[#This Row],[Chuva]],"Sim","Não"))</f>
        <v>Sim</v>
      </c>
      <c r="I213" s="13">
        <f>VLOOKUP(Vértices!E208,Tabela5[],2,)</f>
        <v>5</v>
      </c>
      <c r="J213" s="13" t="str">
        <f>IF(AND(Vértices!$J208="Sim",OR(Pesos!$D$4="Madrugada",Pesos!$D$4="Noite")),"Via bloqueada", "Via liberada")</f>
        <v>Via liberada</v>
      </c>
      <c r="K213" s="13">
        <f>Tabela12[[#This Row],[Distância (m)]]*((1*VLOOKUP(Vértices!$G208,Tabela7[[Classificação]:[Peso]],2,FALSE)+2*VLOOKUP(Vértices!I208,Tabela9[[Classificação]:[Peso]],2,FALSE)+3*VLOOKUP(Pesos!$C$5,Tabela11[[Classificação]:[Peso]],2,FALSE)+4*VLOOKUP(Vértices!H208,Tabela8[[Classificação]:[Peso]],2,FALSE)+5*VLOOKUP($D$3,Tabela5[[Fator Chuva]:[Peso]],2,FALSE))/15)*VLOOKUP(Vértices!G208,Tabela7[[Classificação]:[Peso]],2,FALSE)*VLOOKUP(Vértices!H208,Tabela8[[Classificação]:[Peso]],2,FALSE)*VLOOKUP(Vértices!I208,Tabela9[[Classificação]:[Peso]],2,FALSE)</f>
        <v>457987.32529794087</v>
      </c>
      <c r="L21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4" spans="4:12" ht="15" x14ac:dyDescent="0.2">
      <c r="D214" s="6" t="s">
        <v>103</v>
      </c>
      <c r="E214" s="6" t="s">
        <v>53</v>
      </c>
      <c r="F214" s="6">
        <f>Vértices!C209</f>
        <v>27223.984481807147</v>
      </c>
      <c r="G214" s="17" t="str">
        <f>IF($C$2="Caminhão",Vértices!F209,"Sim")</f>
        <v>Sim</v>
      </c>
      <c r="H214" s="13" t="str">
        <f>IF(OR($C$3="Sem chuva",$I214=0), "Não",IF($D$3&gt;=Tabela12[[#This Row],[Chuva]],"Sim","Não"))</f>
        <v>Sim</v>
      </c>
      <c r="I214" s="13">
        <f>VLOOKUP(Vértices!E209,Tabela5[],2,)</f>
        <v>5</v>
      </c>
      <c r="J214" s="13" t="str">
        <f>IF(AND(Vértices!$J209="Sim",OR(Pesos!$D$4="Madrugada",Pesos!$D$4="Noite")),"Via bloqueada", "Via liberada")</f>
        <v>Via liberada</v>
      </c>
      <c r="K214" s="13">
        <f>Tabela12[[#This Row],[Distância (m)]]*((1*VLOOKUP(Vértices!$G209,Tabela7[[Classificação]:[Peso]],2,FALSE)+2*VLOOKUP(Vértices!I209,Tabela9[[Classificação]:[Peso]],2,FALSE)+3*VLOOKUP(Pesos!$C$5,Tabela11[[Classificação]:[Peso]],2,FALSE)+4*VLOOKUP(Vértices!H209,Tabela8[[Classificação]:[Peso]],2,FALSE)+5*VLOOKUP($D$3,Tabela5[[Fator Chuva]:[Peso]],2,FALSE))/15)*VLOOKUP(Vértices!G209,Tabela7[[Classificação]:[Peso]],2,FALSE)*VLOOKUP(Vértices!H209,Tabela8[[Classificação]:[Peso]],2,FALSE)*VLOOKUP(Vértices!I209,Tabela9[[Classificação]:[Peso]],2,FALSE)</f>
        <v>136119.92240903573</v>
      </c>
      <c r="L214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5" spans="4:12" ht="15" x14ac:dyDescent="0.2">
      <c r="D215" s="9" t="s">
        <v>104</v>
      </c>
      <c r="E215" s="9" t="s">
        <v>74</v>
      </c>
      <c r="F215" s="9">
        <f>Vértices!C210</f>
        <v>1538.0287221649414</v>
      </c>
      <c r="G215" s="17" t="str">
        <f>IF($C$2="Caminhão",Vértices!F210,"Sim")</f>
        <v>Sim</v>
      </c>
      <c r="H215" s="13" t="str">
        <f>IF(OR($C$3="Sem chuva",$I215=0), "Não",IF($D$3&gt;=Tabela12[[#This Row],[Chuva]],"Sim","Não"))</f>
        <v>Não</v>
      </c>
      <c r="I215" s="13">
        <f>VLOOKUP(Vértices!E210,Tabela5[],2,)</f>
        <v>6</v>
      </c>
      <c r="J215" s="13" t="str">
        <f>IF(AND(Vértices!$J210="Sim",OR(Pesos!$D$4="Madrugada",Pesos!$D$4="Noite")),"Via bloqueada", "Via liberada")</f>
        <v>Via liberada</v>
      </c>
      <c r="K215" s="13">
        <f>Tabela12[[#This Row],[Distância (m)]]*((1*VLOOKUP(Vértices!$G210,Tabela7[[Classificação]:[Peso]],2,FALSE)+2*VLOOKUP(Vértices!I210,Tabela9[[Classificação]:[Peso]],2,FALSE)+3*VLOOKUP(Pesos!$C$5,Tabela11[[Classificação]:[Peso]],2,FALSE)+4*VLOOKUP(Vértices!H210,Tabela8[[Classificação]:[Peso]],2,FALSE)+5*VLOOKUP($D$3,Tabela5[[Fator Chuva]:[Peso]],2,FALSE))/15)*VLOOKUP(Vértices!G210,Tabela7[[Classificação]:[Peso]],2,FALSE)*VLOOKUP(Vértices!H210,Tabela8[[Classificação]:[Peso]],2,FALSE)*VLOOKUP(Vértices!I210,Tabela9[[Classificação]:[Peso]],2,FALSE)</f>
        <v>15636.625342010237</v>
      </c>
      <c r="L215" s="13">
        <f>IF(OR(Tabela12[[#This Row],[Vai poder passar?]]="Não",Tabela12[[#This Row],[Via Alagada?]]="Sim",Tabela12[[#This Row],[Criminalidade]]="Via bloqueada"), "Ignorar rota", Tabela12[[#This Row],[Peso]])</f>
        <v>15636.625342010237</v>
      </c>
    </row>
    <row r="216" spans="4:12" ht="15" x14ac:dyDescent="0.2">
      <c r="D216" s="6" t="s">
        <v>104</v>
      </c>
      <c r="E216" s="6" t="s">
        <v>84</v>
      </c>
      <c r="F216" s="6">
        <f>Vértices!C211</f>
        <v>16524.184379356673</v>
      </c>
      <c r="G216" s="17" t="str">
        <f>IF($C$2="Caminhão",Vértices!F211,"Sim")</f>
        <v>Sim</v>
      </c>
      <c r="H216" s="13" t="str">
        <f>IF(OR($C$3="Sem chuva",$I216=0), "Não",IF($D$3&gt;=Tabela12[[#This Row],[Chuva]],"Sim","Não"))</f>
        <v>Não</v>
      </c>
      <c r="I216" s="13">
        <f>VLOOKUP(Vértices!E211,Tabela5[],2,)</f>
        <v>6</v>
      </c>
      <c r="J216" s="13" t="str">
        <f>IF(AND(Vértices!$J211="Sim",OR(Pesos!$D$4="Madrugada",Pesos!$D$4="Noite")),"Via bloqueada", "Via liberada")</f>
        <v>Via liberada</v>
      </c>
      <c r="K216" s="13">
        <f>Tabela12[[#This Row],[Distância (m)]]*((1*VLOOKUP(Vértices!$G211,Tabela7[[Classificação]:[Peso]],2,FALSE)+2*VLOOKUP(Vértices!I211,Tabela9[[Classificação]:[Peso]],2,FALSE)+3*VLOOKUP(Pesos!$C$5,Tabela11[[Classificação]:[Peso]],2,FALSE)+4*VLOOKUP(Vértices!H211,Tabela8[[Classificação]:[Peso]],2,FALSE)+5*VLOOKUP($D$3,Tabela5[[Fator Chuva]:[Peso]],2,FALSE))/15)*VLOOKUP(Vértices!G211,Tabela7[[Classificação]:[Peso]],2,FALSE)*VLOOKUP(Vértices!H211,Tabela8[[Classificação]:[Peso]],2,FALSE)*VLOOKUP(Vértices!I211,Tabela9[[Classificação]:[Peso]],2,FALSE)</f>
        <v>167995.8745234595</v>
      </c>
      <c r="L216" s="13">
        <f>IF(OR(Tabela12[[#This Row],[Vai poder passar?]]="Não",Tabela12[[#This Row],[Via Alagada?]]="Sim",Tabela12[[#This Row],[Criminalidade]]="Via bloqueada"), "Ignorar rota", Tabela12[[#This Row],[Peso]])</f>
        <v>167995.8745234595</v>
      </c>
    </row>
    <row r="217" spans="4:12" ht="15" x14ac:dyDescent="0.2">
      <c r="D217" s="9" t="s">
        <v>105</v>
      </c>
      <c r="E217" s="9" t="s">
        <v>17</v>
      </c>
      <c r="F217" s="9">
        <f>Vértices!C212</f>
        <v>33411.860236893197</v>
      </c>
      <c r="G217" s="17" t="str">
        <f>IF($C$2="Caminhão",Vértices!F212,"Sim")</f>
        <v>Não</v>
      </c>
      <c r="H217" s="13" t="str">
        <f>IF(OR($C$3="Sem chuva",$I217=0), "Não",IF($D$3&gt;=Tabela12[[#This Row],[Chuva]],"Sim","Não"))</f>
        <v>Não</v>
      </c>
      <c r="I217" s="13">
        <f>VLOOKUP(Vértices!E212,Tabela5[],2,)</f>
        <v>0</v>
      </c>
      <c r="J217" s="13" t="str">
        <f>IF(AND(Vértices!$J212="Sim",OR(Pesos!$D$4="Madrugada",Pesos!$D$4="Noite")),"Via bloqueada", "Via liberada")</f>
        <v>Via liberada</v>
      </c>
      <c r="K217" s="13">
        <f>Tabela12[[#This Row],[Distância (m)]]*((1*VLOOKUP(Vértices!$G212,Tabela7[[Classificação]:[Peso]],2,FALSE)+2*VLOOKUP(Vértices!I212,Tabela9[[Classificação]:[Peso]],2,FALSE)+3*VLOOKUP(Pesos!$C$5,Tabela11[[Classificação]:[Peso]],2,FALSE)+4*VLOOKUP(Vértices!H212,Tabela8[[Classificação]:[Peso]],2,FALSE)+5*VLOOKUP($D$3,Tabela5[[Fator Chuva]:[Peso]],2,FALSE))/15)*VLOOKUP(Vértices!G212,Tabela7[[Classificação]:[Peso]],2,FALSE)*VLOOKUP(Vértices!H212,Tabela8[[Classificação]:[Peso]],2,FALSE)*VLOOKUP(Vértices!I212,Tabela9[[Classificação]:[Peso]],2,FALSE)</f>
        <v>76847.278544854358</v>
      </c>
      <c r="L217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8" spans="4:12" ht="15" x14ac:dyDescent="0.2">
      <c r="D218" s="6" t="s">
        <v>105</v>
      </c>
      <c r="E218" s="6" t="s">
        <v>34</v>
      </c>
      <c r="F218" s="6">
        <f>Vértices!C213</f>
        <v>12630.779322519011</v>
      </c>
      <c r="G218" s="17" t="str">
        <f>IF($C$2="Caminhão",Vértices!F213,"Sim")</f>
        <v>Sim</v>
      </c>
      <c r="H218" s="13" t="str">
        <f>IF(OR($C$3="Sem chuva",$I218=0), "Não",IF($D$3&gt;=Tabela12[[#This Row],[Chuva]],"Sim","Não"))</f>
        <v>Sim</v>
      </c>
      <c r="I218" s="13">
        <f>VLOOKUP(Vértices!E213,Tabela5[],2,)</f>
        <v>4</v>
      </c>
      <c r="J218" s="13" t="str">
        <f>IF(AND(Vértices!$J213="Sim",OR(Pesos!$D$4="Madrugada",Pesos!$D$4="Noite")),"Via bloqueada", "Via liberada")</f>
        <v>Via liberada</v>
      </c>
      <c r="K218" s="13">
        <f>Tabela12[[#This Row],[Distância (m)]]*((1*VLOOKUP(Vértices!$G213,Tabela7[[Classificação]:[Peso]],2,FALSE)+2*VLOOKUP(Vértices!I213,Tabela9[[Classificação]:[Peso]],2,FALSE)+3*VLOOKUP(Pesos!$C$5,Tabela11[[Classificação]:[Peso]],2,FALSE)+4*VLOOKUP(Vértices!H213,Tabela8[[Classificação]:[Peso]],2,FALSE)+5*VLOOKUP($D$3,Tabela5[[Fator Chuva]:[Peso]],2,FALSE))/15)*VLOOKUP(Vértices!G213,Tabela7[[Classificação]:[Peso]],2,FALSE)*VLOOKUP(Vértices!H213,Tabela8[[Classificação]:[Peso]],2,FALSE)*VLOOKUP(Vértices!I213,Tabela9[[Classificação]:[Peso]],2,FALSE)</f>
        <v>69469.286273854552</v>
      </c>
      <c r="L218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19" spans="4:12" ht="15" x14ac:dyDescent="0.2">
      <c r="D219" s="9" t="s">
        <v>106</v>
      </c>
      <c r="E219" s="9" t="s">
        <v>60</v>
      </c>
      <c r="F219" s="6">
        <f>Vértices!C214</f>
        <v>2199.2490638242989</v>
      </c>
      <c r="G219" s="17" t="str">
        <f>IF($C$2="Caminhão",Vértices!F214,"Sim")</f>
        <v>Sim</v>
      </c>
      <c r="H219" s="13" t="str">
        <f>IF(OR($C$3="Sem chuva",$I219=0), "Não",IF($D$3&gt;=Tabela12[[#This Row],[Chuva]],"Sim","Não"))</f>
        <v>Não</v>
      </c>
      <c r="I219" s="13">
        <f>VLOOKUP(Vértices!E214,Tabela5[],2,)</f>
        <v>6</v>
      </c>
      <c r="J219" s="13" t="str">
        <f>IF(AND(Vértices!$J214="Sim",OR(Pesos!$D$4="Madrugada",Pesos!$D$4="Noite")),"Via bloqueada", "Via liberada")</f>
        <v>Via liberada</v>
      </c>
      <c r="K219" s="13">
        <f>Tabela12[[#This Row],[Distância (m)]]*((1*VLOOKUP(Vértices!$G214,Tabela7[[Classificação]:[Peso]],2,FALSE)+2*VLOOKUP(Vértices!I214,Tabela9[[Classificação]:[Peso]],2,FALSE)+3*VLOOKUP(Pesos!$C$5,Tabela11[[Classificação]:[Peso]],2,FALSE)+4*VLOOKUP(Vértices!H214,Tabela8[[Classificação]:[Peso]],2,FALSE)+5*VLOOKUP($D$3,Tabela5[[Fator Chuva]:[Peso]],2,FALSE))/15)*VLOOKUP(Vértices!G214,Tabela7[[Classificação]:[Peso]],2,FALSE)*VLOOKUP(Vértices!H214,Tabela8[[Classificação]:[Peso]],2,FALSE)*VLOOKUP(Vértices!I214,Tabela9[[Classificação]:[Peso]],2,FALSE)</f>
        <v>7917.2966297674766</v>
      </c>
      <c r="L219" s="13">
        <f>IF(OR(Tabela12[[#This Row],[Vai poder passar?]]="Não",Tabela12[[#This Row],[Via Alagada?]]="Sim",Tabela12[[#This Row],[Criminalidade]]="Via bloqueada"), "Ignorar rota", Tabela12[[#This Row],[Peso]])</f>
        <v>7917.2966297674766</v>
      </c>
    </row>
    <row r="220" spans="4:12" ht="15" x14ac:dyDescent="0.2">
      <c r="D220" s="6" t="s">
        <v>106</v>
      </c>
      <c r="E220" s="6" t="s">
        <v>92</v>
      </c>
      <c r="F220" s="6">
        <f>Vértices!C215</f>
        <v>19565.127555098003</v>
      </c>
      <c r="G220" s="17" t="str">
        <f>IF($C$2="Caminhão",Vértices!F215,"Sim")</f>
        <v>Sim</v>
      </c>
      <c r="H220" s="13" t="str">
        <f>IF(OR($C$3="Sem chuva",$I220=0), "Não",IF($D$3&gt;=Tabela12[[#This Row],[Chuva]],"Sim","Não"))</f>
        <v>Não</v>
      </c>
      <c r="I220" s="13">
        <f>VLOOKUP(Vértices!E215,Tabela5[],2,)</f>
        <v>0</v>
      </c>
      <c r="J220" s="13" t="str">
        <f>IF(AND(Vértices!$J215="Sim",OR(Pesos!$D$4="Madrugada",Pesos!$D$4="Noite")),"Via bloqueada", "Via liberada")</f>
        <v>Via liberada</v>
      </c>
      <c r="K220" s="13">
        <f>Tabela12[[#This Row],[Distância (m)]]*((1*VLOOKUP(Vértices!$G215,Tabela7[[Classificação]:[Peso]],2,FALSE)+2*VLOOKUP(Vértices!I215,Tabela9[[Classificação]:[Peso]],2,FALSE)+3*VLOOKUP(Pesos!$C$5,Tabela11[[Classificação]:[Peso]],2,FALSE)+4*VLOOKUP(Vértices!H215,Tabela8[[Classificação]:[Peso]],2,FALSE)+5*VLOOKUP($D$3,Tabela5[[Fator Chuva]:[Peso]],2,FALSE))/15)*VLOOKUP(Vértices!G215,Tabela7[[Classificação]:[Peso]],2,FALSE)*VLOOKUP(Vértices!H215,Tabela8[[Classificação]:[Peso]],2,FALSE)*VLOOKUP(Vértices!I215,Tabela9[[Classificação]:[Peso]],2,FALSE)</f>
        <v>198912.13014349635</v>
      </c>
      <c r="L220" s="13">
        <f>IF(OR(Tabela12[[#This Row],[Vai poder passar?]]="Não",Tabela12[[#This Row],[Via Alagada?]]="Sim",Tabela12[[#This Row],[Criminalidade]]="Via bloqueada"), "Ignorar rota", Tabela12[[#This Row],[Peso]])</f>
        <v>198912.13014349635</v>
      </c>
    </row>
    <row r="221" spans="4:12" ht="15" x14ac:dyDescent="0.2">
      <c r="D221" s="9" t="s">
        <v>107</v>
      </c>
      <c r="E221" s="9" t="s">
        <v>42</v>
      </c>
      <c r="F221" s="6">
        <f>Vértices!C216</f>
        <v>13234.102508812628</v>
      </c>
      <c r="G221" s="17" t="str">
        <f>IF($C$2="Caminhão",Vértices!F216,"Sim")</f>
        <v>Não</v>
      </c>
      <c r="H221" s="13" t="str">
        <f>IF(OR($C$3="Sem chuva",$I221=0), "Não",IF($D$3&gt;=Tabela12[[#This Row],[Chuva]],"Sim","Não"))</f>
        <v>Não</v>
      </c>
      <c r="I221" s="13">
        <f>VLOOKUP(Vértices!E216,Tabela5[],2,)</f>
        <v>0</v>
      </c>
      <c r="J221" s="13" t="str">
        <f>IF(AND(Vértices!$J216="Sim",OR(Pesos!$D$4="Madrugada",Pesos!$D$4="Noite")),"Via bloqueada", "Via liberada")</f>
        <v>Via liberada</v>
      </c>
      <c r="K221" s="13">
        <f>Tabela12[[#This Row],[Distância (m)]]*((1*VLOOKUP(Vértices!$G216,Tabela7[[Classificação]:[Peso]],2,FALSE)+2*VLOOKUP(Vértices!I216,Tabela9[[Classificação]:[Peso]],2,FALSE)+3*VLOOKUP(Pesos!$C$5,Tabela11[[Classificação]:[Peso]],2,FALSE)+4*VLOOKUP(Vértices!H216,Tabela8[[Classificação]:[Peso]],2,FALSE)+5*VLOOKUP($D$3,Tabela5[[Fator Chuva]:[Peso]],2,FALSE))/15)*VLOOKUP(Vértices!G216,Tabela7[[Classificação]:[Peso]],2,FALSE)*VLOOKUP(Vértices!H216,Tabela8[[Classificação]:[Peso]],2,FALSE)*VLOOKUP(Vértices!I216,Tabela9[[Classificação]:[Peso]],2,FALSE)</f>
        <v>77419.499676553882</v>
      </c>
      <c r="L221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22" spans="4:12" ht="15" x14ac:dyDescent="0.2">
      <c r="D222" s="6" t="s">
        <v>107</v>
      </c>
      <c r="E222" s="6" t="s">
        <v>47</v>
      </c>
      <c r="F222" s="6">
        <f>Vértices!C217</f>
        <v>3230.169994050369</v>
      </c>
      <c r="G222" s="17" t="str">
        <f>IF($C$2="Caminhão",Vértices!F217,"Sim")</f>
        <v>Sim</v>
      </c>
      <c r="H222" s="13" t="str">
        <f>IF(OR($C$3="Sem chuva",$I222=0), "Não",IF($D$3&gt;=Tabela12[[#This Row],[Chuva]],"Sim","Não"))</f>
        <v>Sim</v>
      </c>
      <c r="I222" s="13">
        <f>VLOOKUP(Vértices!E217,Tabela5[],2,)</f>
        <v>3</v>
      </c>
      <c r="J222" s="13" t="str">
        <f>IF(AND(Vértices!$J217="Sim",OR(Pesos!$D$4="Madrugada",Pesos!$D$4="Noite")),"Via bloqueada", "Via liberada")</f>
        <v>Via liberada</v>
      </c>
      <c r="K222" s="13">
        <f>Tabela12[[#This Row],[Distância (m)]]*((1*VLOOKUP(Vértices!$G217,Tabela7[[Classificação]:[Peso]],2,FALSE)+2*VLOOKUP(Vértices!I217,Tabela9[[Classificação]:[Peso]],2,FALSE)+3*VLOOKUP(Pesos!$C$5,Tabela11[[Classificação]:[Peso]],2,FALSE)+4*VLOOKUP(Vértices!H217,Tabela8[[Classificação]:[Peso]],2,FALSE)+5*VLOOKUP($D$3,Tabela5[[Fator Chuva]:[Peso]],2,FALSE))/15)*VLOOKUP(Vértices!G217,Tabela7[[Classificação]:[Peso]],2,FALSE)*VLOOKUP(Vértices!H217,Tabela8[[Classificação]:[Peso]],2,FALSE)*VLOOKUP(Vértices!I217,Tabela9[[Classificação]:[Peso]],2,FALSE)</f>
        <v>50067.634907780724</v>
      </c>
      <c r="L222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  <row r="223" spans="4:12" ht="15" x14ac:dyDescent="0.2">
      <c r="D223" s="12" t="s">
        <v>107</v>
      </c>
      <c r="E223" s="12" t="s">
        <v>31</v>
      </c>
      <c r="F223" s="6">
        <f>Vértices!C218</f>
        <v>49286.849728767396</v>
      </c>
      <c r="G223" s="18" t="str">
        <f>IF($C$2="Caminhão",Vértices!F218,"Sim")</f>
        <v>Sim</v>
      </c>
      <c r="H223" s="13" t="str">
        <f>IF(OR($C$3="Sem chuva",$I223=0), "Não",IF($D$3&gt;=Tabela12[[#This Row],[Chuva]],"Sim","Não"))</f>
        <v>Sim</v>
      </c>
      <c r="I223" s="13">
        <f>VLOOKUP(Vértices!E218,Tabela5[],2,)</f>
        <v>4</v>
      </c>
      <c r="J223" s="13" t="str">
        <f>IF(AND(Vértices!$J218="Sim",OR(Pesos!$D$4="Madrugada",Pesos!$D$4="Noite")),"Via bloqueada", "Via liberada")</f>
        <v>Via liberada</v>
      </c>
      <c r="K223" s="13">
        <f>Tabela12[[#This Row],[Distância (m)]]*((1*VLOOKUP(Vértices!$G218,Tabela7[[Classificação]:[Peso]],2,FALSE)+2*VLOOKUP(Vértices!I218,Tabela9[[Classificação]:[Peso]],2,FALSE)+3*VLOOKUP(Pesos!$C$5,Tabela11[[Classificação]:[Peso]],2,FALSE)+4*VLOOKUP(Vértices!H218,Tabela8[[Classificação]:[Peso]],2,FALSE)+5*VLOOKUP($D$3,Tabela5[[Fator Chuva]:[Peso]],2,FALSE))/15)*VLOOKUP(Vértices!G218,Tabela7[[Classificação]:[Peso]],2,FALSE)*VLOOKUP(Vértices!H218,Tabela8[[Classificação]:[Peso]],2,FALSE)*VLOOKUP(Vértices!I218,Tabela9[[Classificação]:[Peso]],2,FALSE)</f>
        <v>763946.17079589469</v>
      </c>
      <c r="L223" s="13" t="str">
        <f>IF(OR(Tabela12[[#This Row],[Vai poder passar?]]="Não",Tabela12[[#This Row],[Via Alagada?]]="Sim",Tabela12[[#This Row],[Criminalidade]]="Via bloqueada"), "Ignorar rota", Tabela12[[#This Row],[Peso]])</f>
        <v>Ignorar rota</v>
      </c>
    </row>
  </sheetData>
  <conditionalFormatting sqref="C3">
    <cfRule type="cellIs" dxfId="22" priority="8" operator="equal">
      <formula>"Chuva extrema"</formula>
    </cfRule>
    <cfRule type="cellIs" dxfId="21" priority="9" operator="equal">
      <formula>"Chuva muito forte"</formula>
    </cfRule>
    <cfRule type="cellIs" dxfId="20" priority="10" operator="equal">
      <formula>"Chuva forte"</formula>
    </cfRule>
    <cfRule type="cellIs" dxfId="19" priority="11" operator="equal">
      <formula>"Chuva moderada"</formula>
    </cfRule>
    <cfRule type="cellIs" dxfId="18" priority="12" operator="equal">
      <formula>"Chuva fraca"</formula>
    </cfRule>
    <cfRule type="cellIs" dxfId="17" priority="13" operator="equal">
      <formula>"Garoa"</formula>
    </cfRule>
    <cfRule type="cellIs" dxfId="16" priority="14" operator="equal">
      <formula>"Sem chuva"</formula>
    </cfRule>
  </conditionalFormatting>
  <conditionalFormatting sqref="C5">
    <cfRule type="cellIs" dxfId="15" priority="1" operator="equal">
      <formula>"Noite"</formula>
    </cfRule>
    <cfRule type="cellIs" dxfId="14" priority="2" operator="equal">
      <formula>"Pico da noite"</formula>
    </cfRule>
    <cfRule type="cellIs" dxfId="13" priority="3" operator="equal">
      <formula>"tarde"</formula>
    </cfRule>
    <cfRule type="cellIs" dxfId="12" priority="4" operator="equal">
      <formula>"almoço"</formula>
    </cfRule>
    <cfRule type="cellIs" dxfId="11" priority="5" operator="equal">
      <formula>"Manhã"</formula>
    </cfRule>
    <cfRule type="cellIs" dxfId="10" priority="6" operator="equal">
      <formula>"Pico da manhã"</formula>
    </cfRule>
    <cfRule type="cellIs" dxfId="9" priority="7" operator="equal">
      <formula>"Madrugada"</formula>
    </cfRule>
  </conditionalFormatting>
  <conditionalFormatting sqref="G8:K223">
    <cfRule type="cellIs" dxfId="8" priority="21" operator="equal">
      <formula>"Não"</formula>
    </cfRule>
    <cfRule type="cellIs" dxfId="7" priority="22" operator="equal">
      <formula>"Sim"</formula>
    </cfRule>
  </conditionalFormatting>
  <conditionalFormatting sqref="H8:K223">
    <cfRule type="cellIs" dxfId="6" priority="19" operator="equal">
      <formula>"Não"</formula>
    </cfRule>
    <cfRule type="cellIs" dxfId="5" priority="20" operator="equal">
      <formula>"Sim"</formula>
    </cfRule>
  </conditionalFormatting>
  <conditionalFormatting sqref="J8:K223">
    <cfRule type="cellIs" dxfId="4" priority="16" operator="equal">
      <formula>"Via bloqueada"</formula>
    </cfRule>
    <cfRule type="cellIs" dxfId="3" priority="17" operator="equal">
      <formula>"Via liberada"</formula>
    </cfRule>
  </conditionalFormatting>
  <conditionalFormatting sqref="K8:K22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L223">
    <cfRule type="cellIs" dxfId="2" priority="18" operator="equal">
      <formula>"Ignorar rota"</formula>
    </cfRule>
  </conditionalFormatting>
  <dataValidations count="1">
    <dataValidation type="time" allowBlank="1" showInputMessage="1" showErrorMessage="1" sqref="C4" xr:uid="{5F5A294C-1C4E-45A7-AC24-BFE31344807C}">
      <formula1>0</formula1>
      <formula2>0.999305555555556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E09841-5C92-4524-AF2D-BF32BA980F72}">
          <x14:formula1>
            <xm:f>Dados!$I$33:$I$34</xm:f>
          </x14:formula1>
          <xm:sqref>C2</xm:sqref>
        </x14:dataValidation>
        <x14:dataValidation type="list" allowBlank="1" showInputMessage="1" showErrorMessage="1" xr:uid="{C3024763-5312-4E0C-B506-07A93CFAF565}">
          <x14:formula1>
            <xm:f>Dados!$H$2:$H$8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BC14-EB88-4EA2-BDA3-10487CE46A8A}">
  <dimension ref="A1:K874"/>
  <sheetViews>
    <sheetView tabSelected="1" topLeftCell="A656" zoomScaleNormal="100" workbookViewId="0">
      <selection activeCell="A666" sqref="A666"/>
    </sheetView>
  </sheetViews>
  <sheetFormatPr defaultRowHeight="14.25" x14ac:dyDescent="0.2"/>
  <cols>
    <col min="1" max="2" width="34.5703125" style="42" bestFit="1" customWidth="1"/>
    <col min="3" max="3" width="13.42578125" style="42" bestFit="1" customWidth="1"/>
    <col min="4" max="4" width="13.85546875" style="42" bestFit="1" customWidth="1"/>
    <col min="5" max="5" width="27.5703125" style="42" bestFit="1" customWidth="1"/>
    <col min="6" max="6" width="24.28515625" style="42" bestFit="1" customWidth="1"/>
    <col min="7" max="7" width="10.140625" style="42" bestFit="1" customWidth="1"/>
    <col min="8" max="8" width="54.5703125" style="42" bestFit="1" customWidth="1"/>
    <col min="9" max="9" width="11.140625" style="42" bestFit="1" customWidth="1"/>
    <col min="10" max="10" width="16" style="42" bestFit="1" customWidth="1"/>
    <col min="11" max="11" width="15" style="42" bestFit="1" customWidth="1"/>
    <col min="12" max="16384" width="9.140625" style="42"/>
  </cols>
  <sheetData>
    <row r="1" spans="1:11" x14ac:dyDescent="0.2">
      <c r="A1" s="42" t="s">
        <v>108</v>
      </c>
      <c r="B1" s="42" t="s">
        <v>109</v>
      </c>
      <c r="C1" s="42" t="s">
        <v>184</v>
      </c>
      <c r="D1" s="42" t="s">
        <v>185</v>
      </c>
      <c r="E1" s="42" t="s">
        <v>186</v>
      </c>
      <c r="F1" s="42" t="s">
        <v>187</v>
      </c>
      <c r="G1" s="42" t="s">
        <v>1217</v>
      </c>
      <c r="H1" s="42" t="s">
        <v>1218</v>
      </c>
      <c r="I1" s="42" t="s">
        <v>1219</v>
      </c>
      <c r="J1" s="42" t="s">
        <v>1220</v>
      </c>
      <c r="K1" s="42" t="s">
        <v>1221</v>
      </c>
    </row>
    <row r="2" spans="1:11" ht="15" hidden="1" x14ac:dyDescent="0.25">
      <c r="A2" s="43" t="s">
        <v>1</v>
      </c>
      <c r="B2" s="44" t="s">
        <v>97</v>
      </c>
      <c r="C2" s="42">
        <f>VLOOKUP(Tabela13[[#This Row],[Origem]],Tabela1[],2,FALSE)</f>
        <v>1</v>
      </c>
      <c r="D2" s="42">
        <f>VLOOKUP(Tabela13[[#This Row],[Destino]],Tabela1[],2,FALSE)</f>
        <v>97</v>
      </c>
      <c r="E2" s="51" t="s">
        <v>188</v>
      </c>
      <c r="F2" s="52" t="s">
        <v>189</v>
      </c>
      <c r="H2" s="42" t="str">
        <f t="shared" ref="H2:H65" si="0">IF(A2&lt;B2, A2&amp;"_"&amp;B2, B2&amp;"_"&amp;A2)</f>
        <v>Águas do Imperador_Rua Visconde do Bom Retiro</v>
      </c>
      <c r="I2">
        <f t="shared" ref="I2:I65" si="1">IF(A2&lt;B2, 1, -1)</f>
        <v>1</v>
      </c>
      <c r="J2" s="53">
        <f>COUNTIFS(H$2:H2, H2)-1</f>
        <v>0</v>
      </c>
      <c r="K2" s="42" cm="1">
        <f t="array" ref="K2">IF(I2=1,
    J2,
    MAX(IF(H:H=H2, J:J)) - J2
)</f>
        <v>0</v>
      </c>
    </row>
    <row r="3" spans="1:11" x14ac:dyDescent="0.2">
      <c r="A3" s="43" t="s">
        <v>1</v>
      </c>
      <c r="B3" s="44" t="s">
        <v>80</v>
      </c>
      <c r="C3" s="42">
        <f>VLOOKUP(Tabela13[[#This Row],[Origem]],Tabela1[],2,FALSE)</f>
        <v>1</v>
      </c>
      <c r="D3" s="42">
        <f>VLOOKUP(Tabela13[[#This Row],[Destino]],Tabela1[],2,FALSE)</f>
        <v>80</v>
      </c>
      <c r="E3" s="51" t="s">
        <v>190</v>
      </c>
      <c r="F3" s="52" t="s">
        <v>702</v>
      </c>
      <c r="H3" s="42" t="str">
        <f t="shared" si="0"/>
        <v>Águas do Imperador_Rua Caldas Viana</v>
      </c>
      <c r="I3" s="42">
        <f t="shared" si="1"/>
        <v>1</v>
      </c>
      <c r="J3" s="53">
        <f>COUNTIFS(H$2:H3, H3)-1</f>
        <v>0</v>
      </c>
      <c r="K3" s="42" cm="1">
        <f t="array" ref="K3">IF(I3=1,
    J3,
    MAX(IF(H:H=H3, J:J)) - J3
)</f>
        <v>0</v>
      </c>
    </row>
    <row r="4" spans="1:11" x14ac:dyDescent="0.2">
      <c r="A4" s="43" t="s">
        <v>1</v>
      </c>
      <c r="B4" s="44" t="s">
        <v>80</v>
      </c>
      <c r="C4" s="42">
        <f>VLOOKUP(Tabela13[[#This Row],[Origem]],Tabela1[],2,FALSE)</f>
        <v>1</v>
      </c>
      <c r="D4" s="42">
        <f>VLOOKUP(Tabela13[[#This Row],[Destino]],Tabela1[],2,FALSE)</f>
        <v>80</v>
      </c>
      <c r="E4" s="51" t="s">
        <v>191</v>
      </c>
      <c r="F4" s="52" t="s">
        <v>703</v>
      </c>
      <c r="H4" s="42" t="str">
        <f t="shared" si="0"/>
        <v>Águas do Imperador_Rua Caldas Viana</v>
      </c>
      <c r="I4" s="42">
        <f t="shared" si="1"/>
        <v>1</v>
      </c>
      <c r="J4" s="53">
        <f>COUNTIFS(H$2:H4, H4)-1</f>
        <v>1</v>
      </c>
      <c r="K4" s="42" cm="1">
        <f t="array" ref="K4">IF(I4=1,
    J4,
    MAX(IF(H:H=H4, J:J)) - J4
)</f>
        <v>1</v>
      </c>
    </row>
    <row r="5" spans="1:11" x14ac:dyDescent="0.2">
      <c r="A5" s="43" t="s">
        <v>1</v>
      </c>
      <c r="B5" s="44" t="s">
        <v>80</v>
      </c>
      <c r="C5" s="42">
        <f>VLOOKUP(Tabela13[[#This Row],[Origem]],Tabela1[],2,FALSE)</f>
        <v>1</v>
      </c>
      <c r="D5" s="42">
        <f>VLOOKUP(Tabela13[[#This Row],[Destino]],Tabela1[],2,FALSE)</f>
        <v>80</v>
      </c>
      <c r="E5" s="51" t="s">
        <v>191</v>
      </c>
      <c r="F5" s="52" t="s">
        <v>704</v>
      </c>
      <c r="H5" s="42" t="str">
        <f t="shared" si="0"/>
        <v>Águas do Imperador_Rua Caldas Viana</v>
      </c>
      <c r="I5" s="42">
        <f t="shared" si="1"/>
        <v>1</v>
      </c>
      <c r="J5" s="53">
        <f>COUNTIFS(H$2:H5, H5)-1</f>
        <v>2</v>
      </c>
      <c r="K5" s="42" cm="1">
        <f t="array" ref="K5">IF(I5=1,
    J5,
    MAX(IF(H:H=H5, J:J)) - J5
)</f>
        <v>2</v>
      </c>
    </row>
    <row r="6" spans="1:11" x14ac:dyDescent="0.2">
      <c r="A6" s="43" t="s">
        <v>1</v>
      </c>
      <c r="B6" s="44" t="s">
        <v>80</v>
      </c>
      <c r="C6" s="42">
        <f>VLOOKUP(Tabela13[[#This Row],[Origem]],Tabela1[],2,FALSE)</f>
        <v>1</v>
      </c>
      <c r="D6" s="42">
        <f>VLOOKUP(Tabela13[[#This Row],[Destino]],Tabela1[],2,FALSE)</f>
        <v>80</v>
      </c>
      <c r="E6" s="51" t="s">
        <v>192</v>
      </c>
      <c r="F6" s="52" t="s">
        <v>705</v>
      </c>
      <c r="H6" s="42" t="str">
        <f t="shared" si="0"/>
        <v>Águas do Imperador_Rua Caldas Viana</v>
      </c>
      <c r="I6" s="42">
        <f t="shared" si="1"/>
        <v>1</v>
      </c>
      <c r="J6" s="53">
        <f>COUNTIFS(H$2:H6, H6)-1</f>
        <v>3</v>
      </c>
      <c r="K6" s="42" cm="1">
        <f t="array" ref="K6">IF(I6=1,
    J6,
    MAX(IF(H:H=H6, J:J)) - J6
)</f>
        <v>3</v>
      </c>
    </row>
    <row r="7" spans="1:11" x14ac:dyDescent="0.2">
      <c r="A7" s="43" t="s">
        <v>1</v>
      </c>
      <c r="B7" s="44" t="s">
        <v>80</v>
      </c>
      <c r="C7" s="42">
        <f>VLOOKUP(Tabela13[[#This Row],[Origem]],Tabela1[],2,FALSE)</f>
        <v>1</v>
      </c>
      <c r="D7" s="42">
        <f>VLOOKUP(Tabela13[[#This Row],[Destino]],Tabela1[],2,FALSE)</f>
        <v>80</v>
      </c>
      <c r="E7" s="51" t="s">
        <v>193</v>
      </c>
      <c r="F7" s="52" t="s">
        <v>706</v>
      </c>
      <c r="H7" s="42" t="str">
        <f t="shared" si="0"/>
        <v>Águas do Imperador_Rua Caldas Viana</v>
      </c>
      <c r="I7" s="42">
        <f t="shared" si="1"/>
        <v>1</v>
      </c>
      <c r="J7" s="53">
        <f>COUNTIFS(H$2:H7, H7)-1</f>
        <v>4</v>
      </c>
      <c r="K7" s="42" cm="1">
        <f t="array" ref="K7">IF(I7=1,
    J7,
    MAX(IF(H:H=H7, J:J)) - J7
)</f>
        <v>4</v>
      </c>
    </row>
    <row r="8" spans="1:11" x14ac:dyDescent="0.2">
      <c r="A8" s="43" t="s">
        <v>1</v>
      </c>
      <c r="B8" s="44" t="s">
        <v>80</v>
      </c>
      <c r="C8" s="42">
        <f>VLOOKUP(Tabela13[[#This Row],[Origem]],Tabela1[],2,FALSE)</f>
        <v>1</v>
      </c>
      <c r="D8" s="42">
        <f>VLOOKUP(Tabela13[[#This Row],[Destino]],Tabela1[],2,FALSE)</f>
        <v>80</v>
      </c>
      <c r="E8" s="51" t="s">
        <v>194</v>
      </c>
      <c r="F8" s="52" t="s">
        <v>707</v>
      </c>
      <c r="H8" s="42" t="str">
        <f t="shared" si="0"/>
        <v>Águas do Imperador_Rua Caldas Viana</v>
      </c>
      <c r="I8" s="42">
        <f t="shared" si="1"/>
        <v>1</v>
      </c>
      <c r="J8" s="53">
        <f>COUNTIFS(H$2:H8, H8)-1</f>
        <v>5</v>
      </c>
      <c r="K8" s="42" cm="1">
        <f t="array" ref="K8">IF(I8=1,
    J8,
    MAX(IF(H:H=H8, J:J)) - J8
)</f>
        <v>5</v>
      </c>
    </row>
    <row r="9" spans="1:11" x14ac:dyDescent="0.2">
      <c r="A9" s="43" t="s">
        <v>1</v>
      </c>
      <c r="B9" s="44" t="s">
        <v>80</v>
      </c>
      <c r="C9" s="42">
        <f>VLOOKUP(Tabela13[[#This Row],[Origem]],Tabela1[],2,FALSE)</f>
        <v>1</v>
      </c>
      <c r="D9" s="42">
        <f>VLOOKUP(Tabela13[[#This Row],[Destino]],Tabela1[],2,FALSE)</f>
        <v>80</v>
      </c>
      <c r="E9" s="51" t="s">
        <v>195</v>
      </c>
      <c r="F9" s="52" t="s">
        <v>708</v>
      </c>
      <c r="H9" s="42" t="str">
        <f t="shared" si="0"/>
        <v>Águas do Imperador_Rua Caldas Viana</v>
      </c>
      <c r="I9" s="42">
        <f t="shared" si="1"/>
        <v>1</v>
      </c>
      <c r="J9" s="53">
        <f>COUNTIFS(H$2:H9, H9)-1</f>
        <v>6</v>
      </c>
      <c r="K9" s="42" cm="1">
        <f t="array" ref="K9">IF(I9=1,
    J9,
    MAX(IF(H:H=H9, J:J)) - J9
)</f>
        <v>6</v>
      </c>
    </row>
    <row r="10" spans="1:11" hidden="1" x14ac:dyDescent="0.2">
      <c r="A10" s="43" t="s">
        <v>2</v>
      </c>
      <c r="B10" s="44" t="s">
        <v>101</v>
      </c>
      <c r="C10" s="42">
        <f>VLOOKUP(Tabela13[[#This Row],[Origem]],Tabela1[],2,FALSE)</f>
        <v>2</v>
      </c>
      <c r="D10" s="42">
        <f>VLOOKUP(Tabela13[[#This Row],[Destino]],Tabela1[],2,FALSE)</f>
        <v>101</v>
      </c>
      <c r="E10" s="51" t="s">
        <v>188</v>
      </c>
      <c r="F10" s="52" t="s">
        <v>189</v>
      </c>
      <c r="H10" s="42" t="str">
        <f t="shared" si="0"/>
        <v>Antigo Fórum_Tribuna de Petrópolis</v>
      </c>
      <c r="I10" s="42">
        <f t="shared" si="1"/>
        <v>1</v>
      </c>
      <c r="J10" s="53">
        <f>COUNTIFS(H$2:H10, H10)-1</f>
        <v>0</v>
      </c>
      <c r="K10" s="42" cm="1">
        <f t="array" ref="K10">IF(I10=1,
    J10,
    MAX(IF(H:H=H10, J:J)) - J10
)</f>
        <v>0</v>
      </c>
    </row>
    <row r="11" spans="1:11" hidden="1" x14ac:dyDescent="0.2">
      <c r="A11" s="43" t="s">
        <v>2</v>
      </c>
      <c r="B11" s="44" t="s">
        <v>48</v>
      </c>
      <c r="C11" s="42">
        <f>VLOOKUP(Tabela13[[#This Row],[Origem]],Tabela1[],2,FALSE)</f>
        <v>2</v>
      </c>
      <c r="D11" s="42">
        <f>VLOOKUP(Tabela13[[#This Row],[Destino]],Tabela1[],2,FALSE)</f>
        <v>48</v>
      </c>
      <c r="E11" s="51" t="s">
        <v>188</v>
      </c>
      <c r="F11" s="52" t="s">
        <v>189</v>
      </c>
      <c r="H11" s="42" t="str">
        <f t="shared" si="0"/>
        <v>Antigo Fórum_Mercado PetroFrutas</v>
      </c>
      <c r="I11" s="42">
        <f t="shared" si="1"/>
        <v>1</v>
      </c>
      <c r="J11" s="53">
        <f>COUNTIFS(H$2:H11, H11)-1</f>
        <v>0</v>
      </c>
      <c r="K11" s="42" cm="1">
        <f t="array" ref="K11">IF(I11=1,
    J11,
    MAX(IF(H:H=H11, J:J)) - J11
)</f>
        <v>0</v>
      </c>
    </row>
    <row r="12" spans="1:11" x14ac:dyDescent="0.2">
      <c r="A12" s="43" t="s">
        <v>16</v>
      </c>
      <c r="B12" s="44" t="s">
        <v>77</v>
      </c>
      <c r="C12" s="42">
        <f>VLOOKUP(Tabela13[[#This Row],[Origem]],Tabela1[],2,FALSE)</f>
        <v>3</v>
      </c>
      <c r="D12" s="42">
        <f>VLOOKUP(Tabela13[[#This Row],[Destino]],Tabela1[],2,FALSE)</f>
        <v>77</v>
      </c>
      <c r="E12" s="51" t="s">
        <v>196</v>
      </c>
      <c r="F12" s="52" t="s">
        <v>709</v>
      </c>
      <c r="H12" s="42" t="str">
        <f t="shared" si="0"/>
        <v>Avenida Barão do Rio Branco_Rua 13 de Maio</v>
      </c>
      <c r="I12" s="42">
        <f t="shared" si="1"/>
        <v>1</v>
      </c>
      <c r="J12" s="53">
        <f>COUNTIFS(H$2:H12, H12)-1</f>
        <v>0</v>
      </c>
      <c r="K12" s="42" cm="1">
        <f t="array" ref="K12">IF(I12=1,
    J12,
    MAX(IF(H:H=H12, J:J)) - J12
)</f>
        <v>0</v>
      </c>
    </row>
    <row r="13" spans="1:11" x14ac:dyDescent="0.2">
      <c r="A13" s="43" t="s">
        <v>16</v>
      </c>
      <c r="B13" s="44" t="s">
        <v>77</v>
      </c>
      <c r="C13" s="42">
        <f>VLOOKUP(Tabela13[[#This Row],[Origem]],Tabela1[],2,FALSE)</f>
        <v>3</v>
      </c>
      <c r="D13" s="42">
        <f>VLOOKUP(Tabela13[[#This Row],[Destino]],Tabela1[],2,FALSE)</f>
        <v>77</v>
      </c>
      <c r="E13" s="51" t="s">
        <v>197</v>
      </c>
      <c r="F13" s="52" t="s">
        <v>710</v>
      </c>
      <c r="H13" s="42" t="str">
        <f t="shared" si="0"/>
        <v>Avenida Barão do Rio Branco_Rua 13 de Maio</v>
      </c>
      <c r="I13" s="42">
        <f t="shared" si="1"/>
        <v>1</v>
      </c>
      <c r="J13" s="53">
        <f>COUNTIFS(H$2:H13, H13)-1</f>
        <v>1</v>
      </c>
      <c r="K13" s="42" cm="1">
        <f t="array" ref="K13">IF(I13=1,
    J13,
    MAX(IF(H:H=H13, J:J)) - J13
)</f>
        <v>1</v>
      </c>
    </row>
    <row r="14" spans="1:11" x14ac:dyDescent="0.2">
      <c r="A14" s="43" t="s">
        <v>16</v>
      </c>
      <c r="B14" s="44" t="s">
        <v>22</v>
      </c>
      <c r="C14" s="42">
        <f>VLOOKUP(Tabela13[[#This Row],[Origem]],Tabela1[],2,FALSE)</f>
        <v>3</v>
      </c>
      <c r="D14" s="42">
        <f>VLOOKUP(Tabela13[[#This Row],[Destino]],Tabela1[],2,FALSE)</f>
        <v>22</v>
      </c>
      <c r="E14" s="51" t="s">
        <v>198</v>
      </c>
      <c r="F14" s="52" t="s">
        <v>711</v>
      </c>
      <c r="H14" s="42" t="str">
        <f t="shared" si="0"/>
        <v>Avenida Barão do Rio Branco_Casa Barão de Mauá</v>
      </c>
      <c r="I14" s="42">
        <f t="shared" si="1"/>
        <v>1</v>
      </c>
      <c r="J14" s="53">
        <f>COUNTIFS(H$2:H14, H14)-1</f>
        <v>0</v>
      </c>
      <c r="K14" s="42" cm="1">
        <f t="array" ref="K14">IF(I14=1,
    J14,
    MAX(IF(H:H=H14, J:J)) - J14
)</f>
        <v>0</v>
      </c>
    </row>
    <row r="15" spans="1:11" x14ac:dyDescent="0.2">
      <c r="A15" s="43" t="s">
        <v>16</v>
      </c>
      <c r="B15" s="44" t="s">
        <v>22</v>
      </c>
      <c r="C15" s="42">
        <f>VLOOKUP(Tabela13[[#This Row],[Origem]],Tabela1[],2,FALSE)</f>
        <v>3</v>
      </c>
      <c r="D15" s="42">
        <f>VLOOKUP(Tabela13[[#This Row],[Destino]],Tabela1[],2,FALSE)</f>
        <v>22</v>
      </c>
      <c r="E15" s="51" t="s">
        <v>199</v>
      </c>
      <c r="F15" s="52" t="s">
        <v>712</v>
      </c>
      <c r="H15" s="42" t="str">
        <f t="shared" si="0"/>
        <v>Avenida Barão do Rio Branco_Casa Barão de Mauá</v>
      </c>
      <c r="I15" s="42">
        <f t="shared" si="1"/>
        <v>1</v>
      </c>
      <c r="J15" s="53">
        <f>COUNTIFS(H$2:H15, H15)-1</f>
        <v>1</v>
      </c>
      <c r="K15" s="42" cm="1">
        <f t="array" ref="K15">IF(I15=1,
    J15,
    MAX(IF(H:H=H15, J:J)) - J15
)</f>
        <v>1</v>
      </c>
    </row>
    <row r="16" spans="1:11" x14ac:dyDescent="0.2">
      <c r="A16" s="43" t="s">
        <v>16</v>
      </c>
      <c r="B16" s="44" t="s">
        <v>22</v>
      </c>
      <c r="C16" s="42">
        <f>VLOOKUP(Tabela13[[#This Row],[Origem]],Tabela1[],2,FALSE)</f>
        <v>3</v>
      </c>
      <c r="D16" s="42">
        <f>VLOOKUP(Tabela13[[#This Row],[Destino]],Tabela1[],2,FALSE)</f>
        <v>22</v>
      </c>
      <c r="E16" s="51" t="s">
        <v>200</v>
      </c>
      <c r="F16" s="52" t="s">
        <v>713</v>
      </c>
      <c r="H16" s="42" t="str">
        <f t="shared" si="0"/>
        <v>Avenida Barão do Rio Branco_Casa Barão de Mauá</v>
      </c>
      <c r="I16" s="42">
        <f t="shared" si="1"/>
        <v>1</v>
      </c>
      <c r="J16" s="53">
        <f>COUNTIFS(H$2:H16, H16)-1</f>
        <v>2</v>
      </c>
      <c r="K16" s="42" cm="1">
        <f t="array" ref="K16">IF(I16=1,
    J16,
    MAX(IF(H:H=H16, J:J)) - J16
)</f>
        <v>2</v>
      </c>
    </row>
    <row r="17" spans="1:11" x14ac:dyDescent="0.2">
      <c r="A17" s="43" t="s">
        <v>3</v>
      </c>
      <c r="B17" s="44" t="s">
        <v>77</v>
      </c>
      <c r="C17" s="42">
        <f>VLOOKUP(Tabela13[[#This Row],[Origem]],Tabela1[],2,FALSE)</f>
        <v>4</v>
      </c>
      <c r="D17" s="42">
        <f>VLOOKUP(Tabela13[[#This Row],[Destino]],Tabela1[],2,FALSE)</f>
        <v>77</v>
      </c>
      <c r="E17" s="51" t="s">
        <v>201</v>
      </c>
      <c r="F17" s="52" t="s">
        <v>714</v>
      </c>
      <c r="H17" s="42" t="str">
        <f t="shared" si="0"/>
        <v>Avenida Ipiranga_Rua 13 de Maio</v>
      </c>
      <c r="I17" s="42">
        <f t="shared" si="1"/>
        <v>1</v>
      </c>
      <c r="J17" s="53">
        <f>COUNTIFS(H$2:H17, H17)-1</f>
        <v>0</v>
      </c>
      <c r="K17" s="42" cm="1">
        <f t="array" ref="K17">IF(I17=1,
    J17,
    MAX(IF(H:H=H17, J:J)) - J17
)</f>
        <v>0</v>
      </c>
    </row>
    <row r="18" spans="1:11" x14ac:dyDescent="0.2">
      <c r="A18" s="43" t="s">
        <v>3</v>
      </c>
      <c r="B18" s="44" t="s">
        <v>79</v>
      </c>
      <c r="C18" s="42">
        <f>VLOOKUP(Tabela13[[#This Row],[Origem]],Tabela1[],2,FALSE)</f>
        <v>4</v>
      </c>
      <c r="D18" s="42">
        <f>VLOOKUP(Tabela13[[#This Row],[Destino]],Tabela1[],2,FALSE)</f>
        <v>79</v>
      </c>
      <c r="E18" s="51" t="s">
        <v>202</v>
      </c>
      <c r="F18" s="52" t="s">
        <v>715</v>
      </c>
      <c r="H18" s="42" t="str">
        <f t="shared" si="0"/>
        <v>Avenida Ipiranga_Rua Alberto Torres</v>
      </c>
      <c r="I18" s="42">
        <f t="shared" si="1"/>
        <v>1</v>
      </c>
      <c r="J18" s="53">
        <f>COUNTIFS(H$2:H18, H18)-1</f>
        <v>0</v>
      </c>
      <c r="K18" s="42" cm="1">
        <f t="array" ref="K18">IF(I18=1,
    J18,
    MAX(IF(H:H=H18, J:J)) - J18
)</f>
        <v>0</v>
      </c>
    </row>
    <row r="19" spans="1:11" x14ac:dyDescent="0.2">
      <c r="A19" s="43" t="s">
        <v>3</v>
      </c>
      <c r="B19" s="44" t="s">
        <v>79</v>
      </c>
      <c r="C19" s="48">
        <f>VLOOKUP(Tabela13[[#This Row],[Origem]],Tabela1[],2,FALSE)</f>
        <v>4</v>
      </c>
      <c r="D19" s="42">
        <f>VLOOKUP(Tabela13[[#This Row],[Destino]],Tabela1[],2,FALSE)</f>
        <v>79</v>
      </c>
      <c r="E19" s="51" t="s">
        <v>203</v>
      </c>
      <c r="F19" s="52" t="s">
        <v>716</v>
      </c>
      <c r="H19" s="42" t="str">
        <f t="shared" si="0"/>
        <v>Avenida Ipiranga_Rua Alberto Torres</v>
      </c>
      <c r="I19" s="42">
        <f t="shared" si="1"/>
        <v>1</v>
      </c>
      <c r="J19" s="53">
        <f>COUNTIFS(H$2:H19, H19)-1</f>
        <v>1</v>
      </c>
      <c r="K19" s="42" cm="1">
        <f t="array" ref="K19">IF(I19=1,
    J19,
    MAX(IF(H:H=H19, J:J)) - J19
)</f>
        <v>1</v>
      </c>
    </row>
    <row r="20" spans="1:11" x14ac:dyDescent="0.2">
      <c r="A20" s="43" t="s">
        <v>3</v>
      </c>
      <c r="B20" s="44" t="s">
        <v>79</v>
      </c>
      <c r="C20" s="48">
        <f>VLOOKUP(Tabela13[[#This Row],[Origem]],Tabela1[],2,FALSE)</f>
        <v>4</v>
      </c>
      <c r="D20" s="42">
        <f>VLOOKUP(Tabela13[[#This Row],[Destino]],Tabela1[],2,FALSE)</f>
        <v>79</v>
      </c>
      <c r="E20" s="51" t="s">
        <v>204</v>
      </c>
      <c r="F20" s="52" t="s">
        <v>717</v>
      </c>
      <c r="H20" s="42" t="str">
        <f t="shared" si="0"/>
        <v>Avenida Ipiranga_Rua Alberto Torres</v>
      </c>
      <c r="I20" s="42">
        <f t="shared" si="1"/>
        <v>1</v>
      </c>
      <c r="J20" s="53">
        <f>COUNTIFS(H$2:H20, H20)-1</f>
        <v>2</v>
      </c>
      <c r="K20" s="42" cm="1">
        <f t="array" ref="K20">IF(I20=1,
    J20,
    MAX(IF(H:H=H20, J:J)) - J20
)</f>
        <v>2</v>
      </c>
    </row>
    <row r="21" spans="1:11" hidden="1" x14ac:dyDescent="0.2">
      <c r="A21" s="43" t="s">
        <v>4</v>
      </c>
      <c r="B21" s="44" t="s">
        <v>84</v>
      </c>
      <c r="C21" s="42">
        <f>VLOOKUP(Tabela13[[#This Row],[Origem]],Tabela1[],2,FALSE)</f>
        <v>5</v>
      </c>
      <c r="D21" s="42">
        <f>VLOOKUP(Tabela13[[#This Row],[Destino]],Tabela1[],2,FALSE)</f>
        <v>84</v>
      </c>
      <c r="E21" s="51" t="s">
        <v>188</v>
      </c>
      <c r="F21" s="52" t="s">
        <v>189</v>
      </c>
      <c r="H21" s="42" t="str">
        <f t="shared" si="0"/>
        <v>Avenida Koeler_Rua da Imperatiz</v>
      </c>
      <c r="I21" s="42">
        <f t="shared" si="1"/>
        <v>1</v>
      </c>
      <c r="J21" s="53">
        <f>COUNTIFS(H$2:H21, H21)-1</f>
        <v>0</v>
      </c>
      <c r="K21" s="42" cm="1">
        <f t="array" ref="K21">IF(I21=1,
    J21,
    MAX(IF(H:H=H21, J:J)) - J21
)</f>
        <v>0</v>
      </c>
    </row>
    <row r="22" spans="1:11" hidden="1" x14ac:dyDescent="0.2">
      <c r="A22" s="43" t="s">
        <v>4</v>
      </c>
      <c r="B22" s="44" t="s">
        <v>74</v>
      </c>
      <c r="C22" s="42">
        <f>VLOOKUP(Tabela13[[#This Row],[Origem]],Tabela1[],2,FALSE)</f>
        <v>5</v>
      </c>
      <c r="D22" s="42">
        <f>VLOOKUP(Tabela13[[#This Row],[Destino]],Tabela1[],2,FALSE)</f>
        <v>74</v>
      </c>
      <c r="E22" s="51" t="s">
        <v>188</v>
      </c>
      <c r="F22" s="52" t="s">
        <v>189</v>
      </c>
      <c r="H22" s="42" t="str">
        <f t="shared" si="0"/>
        <v>Avenida Koeler_Restaurante Marowill</v>
      </c>
      <c r="I22" s="42">
        <f t="shared" si="1"/>
        <v>1</v>
      </c>
      <c r="J22" s="53">
        <f>COUNTIFS(H$2:H22, H22)-1</f>
        <v>0</v>
      </c>
      <c r="K22" s="42" cm="1">
        <f t="array" ref="K22">IF(I22=1,
    J22,
    MAX(IF(H:H=H22, J:J)) - J22
)</f>
        <v>0</v>
      </c>
    </row>
    <row r="23" spans="1:11" x14ac:dyDescent="0.2">
      <c r="A23" s="43" t="s">
        <v>5</v>
      </c>
      <c r="B23" s="44" t="s">
        <v>12</v>
      </c>
      <c r="C23" s="42">
        <f>VLOOKUP(Tabela13[[#This Row],[Origem]],Tabela1[],2,FALSE)</f>
        <v>6</v>
      </c>
      <c r="D23" s="42">
        <f>VLOOKUP(Tabela13[[#This Row],[Destino]],Tabela1[],2,FALSE)</f>
        <v>13</v>
      </c>
      <c r="E23" s="51" t="s">
        <v>205</v>
      </c>
      <c r="F23" s="52" t="s">
        <v>718</v>
      </c>
      <c r="H23" s="42" t="str">
        <f t="shared" si="0"/>
        <v>Avenida Piabanha_Bairro Mosela</v>
      </c>
      <c r="I23" s="42">
        <f t="shared" si="1"/>
        <v>1</v>
      </c>
      <c r="J23" s="53">
        <f>COUNTIFS(H$2:H23, H23)-1</f>
        <v>0</v>
      </c>
      <c r="K23" s="42" cm="1">
        <f t="array" ref="K23">IF(I23=1,
    J23,
    MAX(IF(H:H=H23, J:J)) - J23
)</f>
        <v>0</v>
      </c>
    </row>
    <row r="24" spans="1:11" x14ac:dyDescent="0.2">
      <c r="A24" s="43" t="s">
        <v>5</v>
      </c>
      <c r="B24" s="44" t="s">
        <v>12</v>
      </c>
      <c r="C24" s="42">
        <f>VLOOKUP(Tabela13[[#This Row],[Origem]],Tabela1[],2,FALSE)</f>
        <v>6</v>
      </c>
      <c r="D24" s="42">
        <f>VLOOKUP(Tabela13[[#This Row],[Destino]],Tabela1[],2,FALSE)</f>
        <v>13</v>
      </c>
      <c r="E24" s="51" t="s">
        <v>206</v>
      </c>
      <c r="F24" s="52" t="s">
        <v>719</v>
      </c>
      <c r="H24" s="42" t="str">
        <f t="shared" si="0"/>
        <v>Avenida Piabanha_Bairro Mosela</v>
      </c>
      <c r="I24" s="42">
        <f t="shared" si="1"/>
        <v>1</v>
      </c>
      <c r="J24" s="53">
        <f>COUNTIFS(H$2:H24, H24)-1</f>
        <v>1</v>
      </c>
      <c r="K24" s="42" cm="1">
        <f t="array" ref="K24">IF(I24=1,
    J24,
    MAX(IF(H:H=H24, J:J)) - J24
)</f>
        <v>1</v>
      </c>
    </row>
    <row r="25" spans="1:11" x14ac:dyDescent="0.2">
      <c r="A25" s="43" t="s">
        <v>6</v>
      </c>
      <c r="B25" s="44" t="s">
        <v>88</v>
      </c>
      <c r="C25" s="42">
        <f>VLOOKUP(Tabela13[[#This Row],[Origem]],Tabela1[],2,FALSE)</f>
        <v>7</v>
      </c>
      <c r="D25" s="42">
        <f>VLOOKUP(Tabela13[[#This Row],[Destino]],Tabela1[],2,FALSE)</f>
        <v>88</v>
      </c>
      <c r="E25" s="51" t="s">
        <v>207</v>
      </c>
      <c r="F25" s="52" t="s">
        <v>720</v>
      </c>
      <c r="H25" s="42" t="str">
        <f t="shared" si="0"/>
        <v>Avenida Portugal_Rua Gonçalves Dias</v>
      </c>
      <c r="I25" s="42">
        <f t="shared" si="1"/>
        <v>1</v>
      </c>
      <c r="J25" s="53">
        <f>COUNTIFS(H$2:H25, H25)-1</f>
        <v>0</v>
      </c>
      <c r="K25" s="42" cm="1">
        <f t="array" ref="K25">IF(I25=1,
    J25,
    MAX(IF(H:H=H25, J:J)) - J25
)</f>
        <v>0</v>
      </c>
    </row>
    <row r="26" spans="1:11" x14ac:dyDescent="0.2">
      <c r="A26" s="43" t="s">
        <v>6</v>
      </c>
      <c r="B26" s="44" t="s">
        <v>35</v>
      </c>
      <c r="C26" s="42">
        <f>VLOOKUP(Tabela13[[#This Row],[Origem]],Tabela1[],2,FALSE)</f>
        <v>7</v>
      </c>
      <c r="D26" s="42">
        <f>VLOOKUP(Tabela13[[#This Row],[Destino]],Tabela1[],2,FALSE)</f>
        <v>35</v>
      </c>
      <c r="E26" s="51" t="s">
        <v>208</v>
      </c>
      <c r="F26" s="52" t="s">
        <v>721</v>
      </c>
      <c r="H26" s="42" t="str">
        <f t="shared" si="0"/>
        <v>Avenida Portugal_Hospital SMH</v>
      </c>
      <c r="I26" s="42">
        <f t="shared" si="1"/>
        <v>1</v>
      </c>
      <c r="J26" s="53">
        <f>COUNTIFS(H$2:H26, H26)-1</f>
        <v>0</v>
      </c>
      <c r="K26" s="42" cm="1">
        <f t="array" ref="K26">IF(I26=1,
    J26,
    MAX(IF(H:H=H26, J:J)) - J26
)</f>
        <v>0</v>
      </c>
    </row>
    <row r="27" spans="1:11" x14ac:dyDescent="0.2">
      <c r="A27" s="43" t="s">
        <v>6</v>
      </c>
      <c r="B27" s="44" t="s">
        <v>31</v>
      </c>
      <c r="C27" s="42">
        <f>VLOOKUP(Tabela13[[#This Row],[Origem]],Tabela1[],2,FALSE)</f>
        <v>7</v>
      </c>
      <c r="D27" s="42">
        <f>VLOOKUP(Tabela13[[#This Row],[Destino]],Tabela1[],2,FALSE)</f>
        <v>31</v>
      </c>
      <c r="E27" s="51" t="s">
        <v>209</v>
      </c>
      <c r="F27" s="52" t="s">
        <v>722</v>
      </c>
      <c r="H27" s="42" t="str">
        <f t="shared" si="0"/>
        <v>Avenida Portugal_Duas Pontes</v>
      </c>
      <c r="I27" s="42">
        <f t="shared" si="1"/>
        <v>1</v>
      </c>
      <c r="J27" s="53">
        <f>COUNTIFS(H$2:H27, H27)-1</f>
        <v>0</v>
      </c>
      <c r="K27" s="42" cm="1">
        <f t="array" ref="K27">IF(I27=1,
    J27,
    MAX(IF(H:H=H27, J:J)) - J27
)</f>
        <v>0</v>
      </c>
    </row>
    <row r="28" spans="1:11" x14ac:dyDescent="0.2">
      <c r="A28" s="43" t="s">
        <v>6</v>
      </c>
      <c r="B28" s="44" t="s">
        <v>31</v>
      </c>
      <c r="C28" s="42">
        <f>VLOOKUP(Tabela13[[#This Row],[Origem]],Tabela1[],2,FALSE)</f>
        <v>7</v>
      </c>
      <c r="D28" s="42">
        <f>VLOOKUP(Tabela13[[#This Row],[Destino]],Tabela1[],2,FALSE)</f>
        <v>31</v>
      </c>
      <c r="E28" s="51" t="s">
        <v>210</v>
      </c>
      <c r="F28" s="52" t="s">
        <v>723</v>
      </c>
      <c r="H28" s="42" t="str">
        <f t="shared" si="0"/>
        <v>Avenida Portugal_Duas Pontes</v>
      </c>
      <c r="I28" s="42">
        <f t="shared" si="1"/>
        <v>1</v>
      </c>
      <c r="J28" s="53">
        <f>COUNTIFS(H$2:H28, H28)-1</f>
        <v>1</v>
      </c>
      <c r="K28" s="42" cm="1">
        <f t="array" ref="K28">IF(I28=1,
    J28,
    MAX(IF(H:H=H28, J:J)) - J28
)</f>
        <v>1</v>
      </c>
    </row>
    <row r="29" spans="1:11" x14ac:dyDescent="0.2">
      <c r="A29" s="43" t="s">
        <v>6</v>
      </c>
      <c r="B29" s="44" t="s">
        <v>31</v>
      </c>
      <c r="C29" s="42">
        <f>VLOOKUP(Tabela13[[#This Row],[Origem]],Tabela1[],2,FALSE)</f>
        <v>7</v>
      </c>
      <c r="D29" s="42">
        <f>VLOOKUP(Tabela13[[#This Row],[Destino]],Tabela1[],2,FALSE)</f>
        <v>31</v>
      </c>
      <c r="E29" s="51" t="s">
        <v>211</v>
      </c>
      <c r="F29" s="52" t="s">
        <v>724</v>
      </c>
      <c r="H29" s="42" t="str">
        <f t="shared" si="0"/>
        <v>Avenida Portugal_Duas Pontes</v>
      </c>
      <c r="I29" s="42">
        <f t="shared" si="1"/>
        <v>1</v>
      </c>
      <c r="J29" s="53">
        <f>COUNTIFS(H$2:H29, H29)-1</f>
        <v>2</v>
      </c>
      <c r="K29" s="42" cm="1">
        <f t="array" ref="K29">IF(I29=1,
    J29,
    MAX(IF(H:H=H29, J:J)) - J29
)</f>
        <v>2</v>
      </c>
    </row>
    <row r="30" spans="1:11" x14ac:dyDescent="0.2">
      <c r="A30" s="43" t="s">
        <v>6</v>
      </c>
      <c r="B30" s="44" t="s">
        <v>31</v>
      </c>
      <c r="C30" s="42">
        <f>VLOOKUP(Tabela13[[#This Row],[Origem]],Tabela1[],2,FALSE)</f>
        <v>7</v>
      </c>
      <c r="D30" s="42">
        <f>VLOOKUP(Tabela13[[#This Row],[Destino]],Tabela1[],2,FALSE)</f>
        <v>31</v>
      </c>
      <c r="E30" s="51" t="s">
        <v>212</v>
      </c>
      <c r="F30" s="52" t="s">
        <v>725</v>
      </c>
      <c r="H30" s="42" t="str">
        <f t="shared" si="0"/>
        <v>Avenida Portugal_Duas Pontes</v>
      </c>
      <c r="I30" s="42">
        <f t="shared" si="1"/>
        <v>1</v>
      </c>
      <c r="J30" s="53">
        <f>COUNTIFS(H$2:H30, H30)-1</f>
        <v>3</v>
      </c>
      <c r="K30" s="42" cm="1">
        <f t="array" ref="K30">IF(I30=1,
    J30,
    MAX(IF(H:H=H30, J:J)) - J30
)</f>
        <v>3</v>
      </c>
    </row>
    <row r="31" spans="1:11" x14ac:dyDescent="0.2">
      <c r="A31" s="43" t="s">
        <v>6</v>
      </c>
      <c r="B31" s="44" t="s">
        <v>31</v>
      </c>
      <c r="C31" s="42">
        <f>VLOOKUP(Tabela13[[#This Row],[Origem]],Tabela1[],2,FALSE)</f>
        <v>7</v>
      </c>
      <c r="D31" s="42">
        <f>VLOOKUP(Tabela13[[#This Row],[Destino]],Tabela1[],2,FALSE)</f>
        <v>31</v>
      </c>
      <c r="E31" s="51" t="s">
        <v>213</v>
      </c>
      <c r="F31" s="52" t="s">
        <v>726</v>
      </c>
      <c r="H31" s="42" t="str">
        <f t="shared" si="0"/>
        <v>Avenida Portugal_Duas Pontes</v>
      </c>
      <c r="I31" s="42">
        <f t="shared" si="1"/>
        <v>1</v>
      </c>
      <c r="J31" s="53">
        <f>COUNTIFS(H$2:H31, H31)-1</f>
        <v>4</v>
      </c>
      <c r="K31" s="42" cm="1">
        <f t="array" ref="K31">IF(I31=1,
    J31,
    MAX(IF(H:H=H31, J:J)) - J31
)</f>
        <v>4</v>
      </c>
    </row>
    <row r="32" spans="1:11" hidden="1" x14ac:dyDescent="0.2">
      <c r="A32" s="43" t="s">
        <v>7</v>
      </c>
      <c r="B32" s="44" t="s">
        <v>3</v>
      </c>
      <c r="C32" s="42">
        <f>VLOOKUP(Tabela13[[#This Row],[Origem]],Tabela1[],2,FALSE)</f>
        <v>8</v>
      </c>
      <c r="D32" s="42">
        <f>VLOOKUP(Tabela13[[#This Row],[Destino]],Tabela1[],2,FALSE)</f>
        <v>4</v>
      </c>
      <c r="E32" s="51" t="s">
        <v>188</v>
      </c>
      <c r="F32" s="52" t="s">
        <v>189</v>
      </c>
      <c r="H32" s="42" t="str">
        <f t="shared" si="0"/>
        <v>Avenida Ipiranga_Avenida Tiradentes</v>
      </c>
      <c r="I32" s="42">
        <f t="shared" si="1"/>
        <v>-1</v>
      </c>
      <c r="J32" s="53">
        <f>COUNTIFS(H$2:H32, H32)-1</f>
        <v>0</v>
      </c>
      <c r="K32" s="42" cm="1">
        <f t="array" ref="K32">IF(I32=1,
    J32,
    MAX(IF(H:H=H32, J:J)) - J32
)</f>
        <v>0</v>
      </c>
    </row>
    <row r="33" spans="1:11" x14ac:dyDescent="0.2">
      <c r="A33" s="43" t="s">
        <v>8</v>
      </c>
      <c r="B33" s="44" t="s">
        <v>9</v>
      </c>
      <c r="C33" s="42">
        <f>VLOOKUP(Tabela13[[#This Row],[Origem]],Tabela1[],2,FALSE)</f>
        <v>9</v>
      </c>
      <c r="D33" s="42">
        <f>VLOOKUP(Tabela13[[#This Row],[Destino]],Tabela1[],2,FALSE)</f>
        <v>10</v>
      </c>
      <c r="E33" s="51" t="s">
        <v>214</v>
      </c>
      <c r="F33" s="52" t="s">
        <v>727</v>
      </c>
      <c r="H33" s="42" t="str">
        <f t="shared" si="0"/>
        <v>Bairro Bingen_Bairro Capela</v>
      </c>
      <c r="I33" s="42">
        <f t="shared" si="1"/>
        <v>1</v>
      </c>
      <c r="J33" s="53">
        <f>COUNTIFS(H$2:H33, H33)-1</f>
        <v>0</v>
      </c>
      <c r="K33" s="42" cm="1">
        <f t="array" ref="K33">IF(I33=1,
    J33,
    MAX(IF(H:H=H33, J:J)) - J33
)</f>
        <v>0</v>
      </c>
    </row>
    <row r="34" spans="1:11" x14ac:dyDescent="0.2">
      <c r="A34" s="43" t="s">
        <v>8</v>
      </c>
      <c r="B34" s="44" t="s">
        <v>9</v>
      </c>
      <c r="C34" s="42">
        <f>VLOOKUP(Tabela13[[#This Row],[Origem]],Tabela1[],2,FALSE)</f>
        <v>9</v>
      </c>
      <c r="D34" s="42">
        <f>VLOOKUP(Tabela13[[#This Row],[Destino]],Tabela1[],2,FALSE)</f>
        <v>10</v>
      </c>
      <c r="E34" s="51" t="s">
        <v>215</v>
      </c>
      <c r="F34" s="52" t="s">
        <v>728</v>
      </c>
      <c r="H34" s="42" t="str">
        <f t="shared" si="0"/>
        <v>Bairro Bingen_Bairro Capela</v>
      </c>
      <c r="I34" s="42">
        <f t="shared" si="1"/>
        <v>1</v>
      </c>
      <c r="J34" s="53">
        <f>COUNTIFS(H$2:H34, H34)-1</f>
        <v>1</v>
      </c>
      <c r="K34" s="42" cm="1">
        <f t="array" ref="K34">IF(I34=1,
    J34,
    MAX(IF(H:H=H34, J:J)) - J34
)</f>
        <v>1</v>
      </c>
    </row>
    <row r="35" spans="1:11" x14ac:dyDescent="0.2">
      <c r="A35" s="43" t="s">
        <v>8</v>
      </c>
      <c r="B35" s="44" t="s">
        <v>9</v>
      </c>
      <c r="C35" s="42">
        <f>VLOOKUP(Tabela13[[#This Row],[Origem]],Tabela1[],2,FALSE)</f>
        <v>9</v>
      </c>
      <c r="D35" s="42">
        <f>VLOOKUP(Tabela13[[#This Row],[Destino]],Tabela1[],2,FALSE)</f>
        <v>10</v>
      </c>
      <c r="E35" s="51" t="s">
        <v>216</v>
      </c>
      <c r="F35" s="52" t="s">
        <v>729</v>
      </c>
      <c r="H35" s="42" t="str">
        <f t="shared" si="0"/>
        <v>Bairro Bingen_Bairro Capela</v>
      </c>
      <c r="I35" s="42">
        <f t="shared" si="1"/>
        <v>1</v>
      </c>
      <c r="J35" s="53">
        <f>COUNTIFS(H$2:H35, H35)-1</f>
        <v>2</v>
      </c>
      <c r="K35" s="42" cm="1">
        <f t="array" ref="K35">IF(I35=1,
    J35,
    MAX(IF(H:H=H35, J:J)) - J35
)</f>
        <v>2</v>
      </c>
    </row>
    <row r="36" spans="1:11" x14ac:dyDescent="0.2">
      <c r="A36" s="43" t="s">
        <v>8</v>
      </c>
      <c r="B36" s="44" t="s">
        <v>9</v>
      </c>
      <c r="C36" s="42">
        <f>VLOOKUP(Tabela13[[#This Row],[Origem]],Tabela1[],2,FALSE)</f>
        <v>9</v>
      </c>
      <c r="D36" s="42">
        <f>VLOOKUP(Tabela13[[#This Row],[Destino]],Tabela1[],2,FALSE)</f>
        <v>10</v>
      </c>
      <c r="E36" s="51" t="s">
        <v>217</v>
      </c>
      <c r="F36" s="52" t="s">
        <v>730</v>
      </c>
      <c r="H36" s="42" t="str">
        <f t="shared" si="0"/>
        <v>Bairro Bingen_Bairro Capela</v>
      </c>
      <c r="I36" s="42">
        <f t="shared" si="1"/>
        <v>1</v>
      </c>
      <c r="J36" s="53">
        <f>COUNTIFS(H$2:H36, H36)-1</f>
        <v>3</v>
      </c>
      <c r="K36" s="42" cm="1">
        <f t="array" ref="K36">IF(I36=1,
    J36,
    MAX(IF(H:H=H36, J:J)) - J36
)</f>
        <v>3</v>
      </c>
    </row>
    <row r="37" spans="1:11" x14ac:dyDescent="0.2">
      <c r="A37" s="43" t="s">
        <v>8</v>
      </c>
      <c r="B37" s="44" t="s">
        <v>9</v>
      </c>
      <c r="C37" s="42">
        <f>VLOOKUP(Tabela13[[#This Row],[Origem]],Tabela1[],2,FALSE)</f>
        <v>9</v>
      </c>
      <c r="D37" s="42">
        <f>VLOOKUP(Tabela13[[#This Row],[Destino]],Tabela1[],2,FALSE)</f>
        <v>10</v>
      </c>
      <c r="E37" s="51" t="s">
        <v>218</v>
      </c>
      <c r="F37" s="52" t="s">
        <v>731</v>
      </c>
      <c r="H37" s="42" t="str">
        <f t="shared" si="0"/>
        <v>Bairro Bingen_Bairro Capela</v>
      </c>
      <c r="I37" s="42">
        <f t="shared" si="1"/>
        <v>1</v>
      </c>
      <c r="J37" s="53">
        <f>COUNTIFS(H$2:H37, H37)-1</f>
        <v>4</v>
      </c>
      <c r="K37" s="42" cm="1">
        <f t="array" ref="K37">IF(I37=1,
    J37,
    MAX(IF(H:H=H37, J:J)) - J37
)</f>
        <v>4</v>
      </c>
    </row>
    <row r="38" spans="1:11" x14ac:dyDescent="0.2">
      <c r="A38" s="43" t="s">
        <v>8</v>
      </c>
      <c r="B38" s="44" t="s">
        <v>9</v>
      </c>
      <c r="C38" s="42">
        <f>VLOOKUP(Tabela13[[#This Row],[Origem]],Tabela1[],2,FALSE)</f>
        <v>9</v>
      </c>
      <c r="D38" s="42">
        <f>VLOOKUP(Tabela13[[#This Row],[Destino]],Tabela1[],2,FALSE)</f>
        <v>10</v>
      </c>
      <c r="E38" s="51" t="s">
        <v>219</v>
      </c>
      <c r="F38" s="52" t="s">
        <v>732</v>
      </c>
      <c r="H38" s="42" t="str">
        <f t="shared" si="0"/>
        <v>Bairro Bingen_Bairro Capela</v>
      </c>
      <c r="I38" s="42">
        <f t="shared" si="1"/>
        <v>1</v>
      </c>
      <c r="J38" s="53">
        <f>COUNTIFS(H$2:H38, H38)-1</f>
        <v>5</v>
      </c>
      <c r="K38" s="42" cm="1">
        <f t="array" ref="K38">IF(I38=1,
    J38,
    MAX(IF(H:H=H38, J:J)) - J38
)</f>
        <v>5</v>
      </c>
    </row>
    <row r="39" spans="1:11" x14ac:dyDescent="0.2">
      <c r="A39" s="43" t="s">
        <v>8</v>
      </c>
      <c r="B39" s="44" t="s">
        <v>57</v>
      </c>
      <c r="C39" s="42">
        <f>VLOOKUP(Tabela13[[#This Row],[Origem]],Tabela1[],2,FALSE)</f>
        <v>9</v>
      </c>
      <c r="D39" s="42">
        <f>VLOOKUP(Tabela13[[#This Row],[Destino]],Tabela1[],2,FALSE)</f>
        <v>57</v>
      </c>
      <c r="E39" s="51" t="s">
        <v>220</v>
      </c>
      <c r="F39" s="52" t="s">
        <v>733</v>
      </c>
      <c r="H39" s="42" t="str">
        <f t="shared" si="0"/>
        <v>Bairro Bingen_Pizzaria Sotilles</v>
      </c>
      <c r="I39" s="42">
        <f t="shared" si="1"/>
        <v>1</v>
      </c>
      <c r="J39" s="53">
        <f>COUNTIFS(H$2:H39, H39)-1</f>
        <v>0</v>
      </c>
      <c r="K39" s="42" cm="1">
        <f t="array" ref="K39">IF(I39=1,
    J39,
    MAX(IF(H:H=H39, J:J)) - J39
)</f>
        <v>0</v>
      </c>
    </row>
    <row r="40" spans="1:11" x14ac:dyDescent="0.2">
      <c r="A40" s="43" t="s">
        <v>8</v>
      </c>
      <c r="B40" s="44" t="s">
        <v>57</v>
      </c>
      <c r="C40" s="42">
        <f>VLOOKUP(Tabela13[[#This Row],[Origem]],Tabela1[],2,FALSE)</f>
        <v>9</v>
      </c>
      <c r="D40" s="42">
        <f>VLOOKUP(Tabela13[[#This Row],[Destino]],Tabela1[],2,FALSE)</f>
        <v>57</v>
      </c>
      <c r="E40" s="51" t="s">
        <v>221</v>
      </c>
      <c r="F40" s="52" t="s">
        <v>734</v>
      </c>
      <c r="H40" s="42" t="str">
        <f t="shared" si="0"/>
        <v>Bairro Bingen_Pizzaria Sotilles</v>
      </c>
      <c r="I40" s="42">
        <f t="shared" si="1"/>
        <v>1</v>
      </c>
      <c r="J40" s="53">
        <f>COUNTIFS(H$2:H40, H40)-1</f>
        <v>1</v>
      </c>
      <c r="K40" s="42" cm="1">
        <f t="array" ref="K40">IF(I40=1,
    J40,
    MAX(IF(H:H=H40, J:J)) - J40
)</f>
        <v>1</v>
      </c>
    </row>
    <row r="41" spans="1:11" x14ac:dyDescent="0.2">
      <c r="A41" s="43" t="s">
        <v>8</v>
      </c>
      <c r="B41" s="44" t="s">
        <v>57</v>
      </c>
      <c r="C41" s="42">
        <f>VLOOKUP(Tabela13[[#This Row],[Origem]],Tabela1[],2,FALSE)</f>
        <v>9</v>
      </c>
      <c r="D41" s="42">
        <f>VLOOKUP(Tabela13[[#This Row],[Destino]],Tabela1[],2,FALSE)</f>
        <v>57</v>
      </c>
      <c r="E41" s="51" t="s">
        <v>222</v>
      </c>
      <c r="F41" s="52" t="s">
        <v>735</v>
      </c>
      <c r="H41" s="42" t="str">
        <f t="shared" si="0"/>
        <v>Bairro Bingen_Pizzaria Sotilles</v>
      </c>
      <c r="I41" s="42">
        <f t="shared" si="1"/>
        <v>1</v>
      </c>
      <c r="J41" s="53">
        <f>COUNTIFS(H$2:H41, H41)-1</f>
        <v>2</v>
      </c>
      <c r="K41" s="42" cm="1">
        <f t="array" ref="K41">IF(I41=1,
    J41,
    MAX(IF(H:H=H41, J:J)) - J41
)</f>
        <v>2</v>
      </c>
    </row>
    <row r="42" spans="1:11" x14ac:dyDescent="0.2">
      <c r="A42" s="43" t="s">
        <v>8</v>
      </c>
      <c r="B42" s="44" t="s">
        <v>57</v>
      </c>
      <c r="C42" s="42">
        <f>VLOOKUP(Tabela13[[#This Row],[Origem]],Tabela1[],2,FALSE)</f>
        <v>9</v>
      </c>
      <c r="D42" s="42">
        <f>VLOOKUP(Tabela13[[#This Row],[Destino]],Tabela1[],2,FALSE)</f>
        <v>57</v>
      </c>
      <c r="E42" s="51" t="s">
        <v>223</v>
      </c>
      <c r="F42" s="52" t="s">
        <v>736</v>
      </c>
      <c r="H42" s="42" t="str">
        <f t="shared" si="0"/>
        <v>Bairro Bingen_Pizzaria Sotilles</v>
      </c>
      <c r="I42" s="42">
        <f t="shared" si="1"/>
        <v>1</v>
      </c>
      <c r="J42" s="53">
        <f>COUNTIFS(H$2:H42, H42)-1</f>
        <v>3</v>
      </c>
      <c r="K42" s="42" cm="1">
        <f t="array" ref="K42">IF(I42=1,
    J42,
    MAX(IF(H:H=H42, J:J)) - J42
)</f>
        <v>3</v>
      </c>
    </row>
    <row r="43" spans="1:11" x14ac:dyDescent="0.2">
      <c r="A43" s="43" t="s">
        <v>8</v>
      </c>
      <c r="B43" s="44" t="s">
        <v>57</v>
      </c>
      <c r="C43" s="42">
        <f>VLOOKUP(Tabela13[[#This Row],[Origem]],Tabela1[],2,FALSE)</f>
        <v>9</v>
      </c>
      <c r="D43" s="42">
        <f>VLOOKUP(Tabela13[[#This Row],[Destino]],Tabela1[],2,FALSE)</f>
        <v>57</v>
      </c>
      <c r="E43" s="51" t="s">
        <v>224</v>
      </c>
      <c r="F43" s="52" t="s">
        <v>737</v>
      </c>
      <c r="H43" s="42" t="str">
        <f t="shared" si="0"/>
        <v>Bairro Bingen_Pizzaria Sotilles</v>
      </c>
      <c r="I43" s="42">
        <f t="shared" si="1"/>
        <v>1</v>
      </c>
      <c r="J43" s="53">
        <f>COUNTIFS(H$2:H43, H43)-1</f>
        <v>4</v>
      </c>
      <c r="K43" s="42" cm="1">
        <f t="array" ref="K43">IF(I43=1,
    J43,
    MAX(IF(H:H=H43, J:J)) - J43
)</f>
        <v>4</v>
      </c>
    </row>
    <row r="44" spans="1:11" x14ac:dyDescent="0.2">
      <c r="A44" s="43" t="s">
        <v>8</v>
      </c>
      <c r="B44" s="44" t="s">
        <v>57</v>
      </c>
      <c r="C44" s="42">
        <f>VLOOKUP(Tabela13[[#This Row],[Origem]],Tabela1[],2,FALSE)</f>
        <v>9</v>
      </c>
      <c r="D44" s="42">
        <f>VLOOKUP(Tabela13[[#This Row],[Destino]],Tabela1[],2,FALSE)</f>
        <v>57</v>
      </c>
      <c r="E44" s="51" t="s">
        <v>225</v>
      </c>
      <c r="F44" s="52" t="s">
        <v>738</v>
      </c>
      <c r="H44" s="42" t="str">
        <f t="shared" si="0"/>
        <v>Bairro Bingen_Pizzaria Sotilles</v>
      </c>
      <c r="I44" s="42">
        <f t="shared" si="1"/>
        <v>1</v>
      </c>
      <c r="J44" s="53">
        <f>COUNTIFS(H$2:H44, H44)-1</f>
        <v>5</v>
      </c>
      <c r="K44" s="42" cm="1">
        <f t="array" ref="K44">IF(I44=1,
    J44,
    MAX(IF(H:H=H44, J:J)) - J44
)</f>
        <v>5</v>
      </c>
    </row>
    <row r="45" spans="1:11" x14ac:dyDescent="0.2">
      <c r="A45" s="43" t="s">
        <v>8</v>
      </c>
      <c r="B45" s="44" t="s">
        <v>57</v>
      </c>
      <c r="C45" s="42">
        <f>VLOOKUP(Tabela13[[#This Row],[Origem]],Tabela1[],2,FALSE)</f>
        <v>9</v>
      </c>
      <c r="D45" s="42">
        <f>VLOOKUP(Tabela13[[#This Row],[Destino]],Tabela1[],2,FALSE)</f>
        <v>57</v>
      </c>
      <c r="E45" s="51" t="s">
        <v>226</v>
      </c>
      <c r="F45" s="52" t="s">
        <v>739</v>
      </c>
      <c r="H45" s="42" t="str">
        <f t="shared" si="0"/>
        <v>Bairro Bingen_Pizzaria Sotilles</v>
      </c>
      <c r="I45" s="42">
        <f t="shared" si="1"/>
        <v>1</v>
      </c>
      <c r="J45" s="53">
        <f>COUNTIFS(H$2:H45, H45)-1</f>
        <v>6</v>
      </c>
      <c r="K45" s="42" cm="1">
        <f t="array" ref="K45">IF(I45=1,
    J45,
    MAX(IF(H:H=H45, J:J)) - J45
)</f>
        <v>6</v>
      </c>
    </row>
    <row r="46" spans="1:11" x14ac:dyDescent="0.2">
      <c r="A46" s="43" t="s">
        <v>8</v>
      </c>
      <c r="B46" s="44" t="s">
        <v>57</v>
      </c>
      <c r="C46" s="42">
        <f>VLOOKUP(Tabela13[[#This Row],[Origem]],Tabela1[],2,FALSE)</f>
        <v>9</v>
      </c>
      <c r="D46" s="42">
        <f>VLOOKUP(Tabela13[[#This Row],[Destino]],Tabela1[],2,FALSE)</f>
        <v>57</v>
      </c>
      <c r="E46" s="51" t="s">
        <v>227</v>
      </c>
      <c r="F46" s="52" t="s">
        <v>740</v>
      </c>
      <c r="H46" s="42" t="str">
        <f t="shared" si="0"/>
        <v>Bairro Bingen_Pizzaria Sotilles</v>
      </c>
      <c r="I46" s="42">
        <f t="shared" si="1"/>
        <v>1</v>
      </c>
      <c r="J46" s="53">
        <f>COUNTIFS(H$2:H46, H46)-1</f>
        <v>7</v>
      </c>
      <c r="K46" s="42" cm="1">
        <f t="array" ref="K46">IF(I46=1,
    J46,
    MAX(IF(H:H=H46, J:J)) - J46
)</f>
        <v>7</v>
      </c>
    </row>
    <row r="47" spans="1:11" x14ac:dyDescent="0.2">
      <c r="A47" s="43" t="s">
        <v>8</v>
      </c>
      <c r="B47" s="44" t="s">
        <v>57</v>
      </c>
      <c r="C47" s="42">
        <f>VLOOKUP(Tabela13[[#This Row],[Origem]],Tabela1[],2,FALSE)</f>
        <v>9</v>
      </c>
      <c r="D47" s="42">
        <f>VLOOKUP(Tabela13[[#This Row],[Destino]],Tabela1[],2,FALSE)</f>
        <v>57</v>
      </c>
      <c r="E47" s="51" t="s">
        <v>228</v>
      </c>
      <c r="F47" s="52" t="s">
        <v>741</v>
      </c>
      <c r="H47" s="42" t="str">
        <f t="shared" si="0"/>
        <v>Bairro Bingen_Pizzaria Sotilles</v>
      </c>
      <c r="I47" s="42">
        <f t="shared" si="1"/>
        <v>1</v>
      </c>
      <c r="J47" s="53">
        <f>COUNTIFS(H$2:H47, H47)-1</f>
        <v>8</v>
      </c>
      <c r="K47" s="42" cm="1">
        <f t="array" ref="K47">IF(I47=1,
    J47,
    MAX(IF(H:H=H47, J:J)) - J47
)</f>
        <v>8</v>
      </c>
    </row>
    <row r="48" spans="1:11" x14ac:dyDescent="0.2">
      <c r="A48" s="43" t="s">
        <v>8</v>
      </c>
      <c r="B48" s="44" t="s">
        <v>57</v>
      </c>
      <c r="C48" s="42">
        <f>VLOOKUP(Tabela13[[#This Row],[Origem]],Tabela1[],2,FALSE)</f>
        <v>9</v>
      </c>
      <c r="D48" s="42">
        <f>VLOOKUP(Tabela13[[#This Row],[Destino]],Tabela1[],2,FALSE)</f>
        <v>57</v>
      </c>
      <c r="E48" s="51" t="s">
        <v>229</v>
      </c>
      <c r="F48" s="52" t="s">
        <v>742</v>
      </c>
      <c r="H48" s="42" t="str">
        <f t="shared" si="0"/>
        <v>Bairro Bingen_Pizzaria Sotilles</v>
      </c>
      <c r="I48" s="42">
        <f t="shared" si="1"/>
        <v>1</v>
      </c>
      <c r="J48" s="53">
        <f>COUNTIFS(H$2:H48, H48)-1</f>
        <v>9</v>
      </c>
      <c r="K48" s="42" cm="1">
        <f t="array" ref="K48">IF(I48=1,
    J48,
    MAX(IF(H:H=H48, J:J)) - J48
)</f>
        <v>9</v>
      </c>
    </row>
    <row r="49" spans="1:11" x14ac:dyDescent="0.2">
      <c r="A49" s="43" t="s">
        <v>8</v>
      </c>
      <c r="B49" s="44" t="s">
        <v>57</v>
      </c>
      <c r="C49" s="42">
        <f>VLOOKUP(Tabela13[[#This Row],[Origem]],Tabela1[],2,FALSE)</f>
        <v>9</v>
      </c>
      <c r="D49" s="42">
        <f>VLOOKUP(Tabela13[[#This Row],[Destino]],Tabela1[],2,FALSE)</f>
        <v>57</v>
      </c>
      <c r="E49" s="51" t="s">
        <v>230</v>
      </c>
      <c r="F49" s="52" t="s">
        <v>743</v>
      </c>
      <c r="H49" s="42" t="str">
        <f t="shared" si="0"/>
        <v>Bairro Bingen_Pizzaria Sotilles</v>
      </c>
      <c r="I49" s="42">
        <f t="shared" si="1"/>
        <v>1</v>
      </c>
      <c r="J49" s="53">
        <f>COUNTIFS(H$2:H49, H49)-1</f>
        <v>10</v>
      </c>
      <c r="K49" s="42" cm="1">
        <f t="array" ref="K49">IF(I49=1,
    J49,
    MAX(IF(H:H=H49, J:J)) - J49
)</f>
        <v>10</v>
      </c>
    </row>
    <row r="50" spans="1:11" x14ac:dyDescent="0.2">
      <c r="A50" s="43" t="s">
        <v>8</v>
      </c>
      <c r="B50" s="44" t="s">
        <v>57</v>
      </c>
      <c r="C50" s="42">
        <f>VLOOKUP(Tabela13[[#This Row],[Origem]],Tabela1[],2,FALSE)</f>
        <v>9</v>
      </c>
      <c r="D50" s="42">
        <f>VLOOKUP(Tabela13[[#This Row],[Destino]],Tabela1[],2,FALSE)</f>
        <v>57</v>
      </c>
      <c r="E50" s="51" t="s">
        <v>231</v>
      </c>
      <c r="F50" s="52" t="s">
        <v>744</v>
      </c>
      <c r="H50" s="42" t="str">
        <f t="shared" si="0"/>
        <v>Bairro Bingen_Pizzaria Sotilles</v>
      </c>
      <c r="I50" s="42">
        <f t="shared" si="1"/>
        <v>1</v>
      </c>
      <c r="J50" s="53">
        <f>COUNTIFS(H$2:H50, H50)-1</f>
        <v>11</v>
      </c>
      <c r="K50" s="42" cm="1">
        <f t="array" ref="K50">IF(I50=1,
    J50,
    MAX(IF(H:H=H50, J:J)) - J50
)</f>
        <v>11</v>
      </c>
    </row>
    <row r="51" spans="1:11" x14ac:dyDescent="0.2">
      <c r="A51" s="43" t="s">
        <v>8</v>
      </c>
      <c r="B51" s="44" t="s">
        <v>57</v>
      </c>
      <c r="C51" s="42">
        <f>VLOOKUP(Tabela13[[#This Row],[Origem]],Tabela1[],2,FALSE)</f>
        <v>9</v>
      </c>
      <c r="D51" s="42">
        <f>VLOOKUP(Tabela13[[#This Row],[Destino]],Tabela1[],2,FALSE)</f>
        <v>57</v>
      </c>
      <c r="E51" s="51" t="s">
        <v>232</v>
      </c>
      <c r="F51" s="52" t="s">
        <v>745</v>
      </c>
      <c r="H51" s="42" t="str">
        <f t="shared" si="0"/>
        <v>Bairro Bingen_Pizzaria Sotilles</v>
      </c>
      <c r="I51" s="42">
        <f t="shared" si="1"/>
        <v>1</v>
      </c>
      <c r="J51" s="53">
        <f>COUNTIFS(H$2:H51, H51)-1</f>
        <v>12</v>
      </c>
      <c r="K51" s="42" cm="1">
        <f t="array" ref="K51">IF(I51=1,
    J51,
    MAX(IF(H:H=H51, J:J)) - J51
)</f>
        <v>12</v>
      </c>
    </row>
    <row r="52" spans="1:11" x14ac:dyDescent="0.2">
      <c r="A52" s="43" t="s">
        <v>8</v>
      </c>
      <c r="B52" s="44" t="s">
        <v>57</v>
      </c>
      <c r="C52" s="42">
        <f>VLOOKUP(Tabela13[[#This Row],[Origem]],Tabela1[],2,FALSE)</f>
        <v>9</v>
      </c>
      <c r="D52" s="42">
        <f>VLOOKUP(Tabela13[[#This Row],[Destino]],Tabela1[],2,FALSE)</f>
        <v>57</v>
      </c>
      <c r="E52" s="51" t="s">
        <v>233</v>
      </c>
      <c r="F52" s="52" t="s">
        <v>746</v>
      </c>
      <c r="H52" s="42" t="str">
        <f t="shared" si="0"/>
        <v>Bairro Bingen_Pizzaria Sotilles</v>
      </c>
      <c r="I52" s="42">
        <f t="shared" si="1"/>
        <v>1</v>
      </c>
      <c r="J52" s="53">
        <f>COUNTIFS(H$2:H52, H52)-1</f>
        <v>13</v>
      </c>
      <c r="K52" s="42" cm="1">
        <f t="array" ref="K52">IF(I52=1,
    J52,
    MAX(IF(H:H=H52, J:J)) - J52
)</f>
        <v>13</v>
      </c>
    </row>
    <row r="53" spans="1:11" x14ac:dyDescent="0.2">
      <c r="A53" s="43" t="s">
        <v>8</v>
      </c>
      <c r="B53" s="44" t="s">
        <v>57</v>
      </c>
      <c r="C53" s="42">
        <f>VLOOKUP(Tabela13[[#This Row],[Origem]],Tabela1[],2,FALSE)</f>
        <v>9</v>
      </c>
      <c r="D53" s="42">
        <f>VLOOKUP(Tabela13[[#This Row],[Destino]],Tabela1[],2,FALSE)</f>
        <v>57</v>
      </c>
      <c r="E53" s="51" t="s">
        <v>234</v>
      </c>
      <c r="F53" s="52" t="s">
        <v>747</v>
      </c>
      <c r="H53" s="42" t="str">
        <f t="shared" si="0"/>
        <v>Bairro Bingen_Pizzaria Sotilles</v>
      </c>
      <c r="I53" s="42">
        <f t="shared" si="1"/>
        <v>1</v>
      </c>
      <c r="J53" s="53">
        <f>COUNTIFS(H$2:H53, H53)-1</f>
        <v>14</v>
      </c>
      <c r="K53" s="42" cm="1">
        <f t="array" ref="K53">IF(I53=1,
    J53,
    MAX(IF(H:H=H53, J:J)) - J53
)</f>
        <v>14</v>
      </c>
    </row>
    <row r="54" spans="1:11" x14ac:dyDescent="0.2">
      <c r="A54" s="43" t="s">
        <v>8</v>
      </c>
      <c r="B54" s="44" t="s">
        <v>57</v>
      </c>
      <c r="C54" s="42">
        <f>VLOOKUP(Tabela13[[#This Row],[Origem]],Tabela1[],2,FALSE)</f>
        <v>9</v>
      </c>
      <c r="D54" s="42">
        <f>VLOOKUP(Tabela13[[#This Row],[Destino]],Tabela1[],2,FALSE)</f>
        <v>57</v>
      </c>
      <c r="E54" s="51" t="s">
        <v>235</v>
      </c>
      <c r="F54" s="52" t="s">
        <v>748</v>
      </c>
      <c r="H54" s="42" t="str">
        <f t="shared" si="0"/>
        <v>Bairro Bingen_Pizzaria Sotilles</v>
      </c>
      <c r="I54" s="42">
        <f t="shared" si="1"/>
        <v>1</v>
      </c>
      <c r="J54" s="53">
        <f>COUNTIFS(H$2:H54, H54)-1</f>
        <v>15</v>
      </c>
      <c r="K54" s="42" cm="1">
        <f t="array" ref="K54">IF(I54=1,
    J54,
    MAX(IF(H:H=H54, J:J)) - J54
)</f>
        <v>15</v>
      </c>
    </row>
    <row r="55" spans="1:11" x14ac:dyDescent="0.2">
      <c r="A55" s="43" t="s">
        <v>8</v>
      </c>
      <c r="B55" s="44" t="s">
        <v>57</v>
      </c>
      <c r="C55" s="42">
        <f>VLOOKUP(Tabela13[[#This Row],[Origem]],Tabela1[],2,FALSE)</f>
        <v>9</v>
      </c>
      <c r="D55" s="42">
        <f>VLOOKUP(Tabela13[[#This Row],[Destino]],Tabela1[],2,FALSE)</f>
        <v>57</v>
      </c>
      <c r="E55" s="51" t="s">
        <v>236</v>
      </c>
      <c r="F55" s="52" t="s">
        <v>749</v>
      </c>
      <c r="H55" s="42" t="str">
        <f t="shared" si="0"/>
        <v>Bairro Bingen_Pizzaria Sotilles</v>
      </c>
      <c r="I55" s="42">
        <f t="shared" si="1"/>
        <v>1</v>
      </c>
      <c r="J55" s="53">
        <f>COUNTIFS(H$2:H55, H55)-1</f>
        <v>16</v>
      </c>
      <c r="K55" s="42" cm="1">
        <f t="array" ref="K55">IF(I55=1,
    J55,
    MAX(IF(H:H=H55, J:J)) - J55
)</f>
        <v>16</v>
      </c>
    </row>
    <row r="56" spans="1:11" x14ac:dyDescent="0.2">
      <c r="A56" s="43" t="s">
        <v>8</v>
      </c>
      <c r="B56" s="44" t="s">
        <v>57</v>
      </c>
      <c r="C56" s="42">
        <f>VLOOKUP(Tabela13[[#This Row],[Origem]],Tabela1[],2,FALSE)</f>
        <v>9</v>
      </c>
      <c r="D56" s="42">
        <f>VLOOKUP(Tabela13[[#This Row],[Destino]],Tabela1[],2,FALSE)</f>
        <v>57</v>
      </c>
      <c r="E56" s="51" t="s">
        <v>237</v>
      </c>
      <c r="F56" s="52" t="s">
        <v>750</v>
      </c>
      <c r="H56" s="42" t="str">
        <f t="shared" si="0"/>
        <v>Bairro Bingen_Pizzaria Sotilles</v>
      </c>
      <c r="I56" s="42">
        <f t="shared" si="1"/>
        <v>1</v>
      </c>
      <c r="J56" s="53">
        <f>COUNTIFS(H$2:H56, H56)-1</f>
        <v>17</v>
      </c>
      <c r="K56" s="42" cm="1">
        <f t="array" ref="K56">IF(I56=1,
    J56,
    MAX(IF(H:H=H56, J:J)) - J56
)</f>
        <v>17</v>
      </c>
    </row>
    <row r="57" spans="1:11" x14ac:dyDescent="0.2">
      <c r="A57" s="43" t="s">
        <v>8</v>
      </c>
      <c r="B57" s="44" t="s">
        <v>57</v>
      </c>
      <c r="C57" s="42">
        <f>VLOOKUP(Tabela13[[#This Row],[Origem]],Tabela1[],2,FALSE)</f>
        <v>9</v>
      </c>
      <c r="D57" s="42">
        <f>VLOOKUP(Tabela13[[#This Row],[Destino]],Tabela1[],2,FALSE)</f>
        <v>57</v>
      </c>
      <c r="E57" s="51" t="s">
        <v>238</v>
      </c>
      <c r="F57" s="52" t="s">
        <v>751</v>
      </c>
      <c r="H57" s="42" t="str">
        <f t="shared" si="0"/>
        <v>Bairro Bingen_Pizzaria Sotilles</v>
      </c>
      <c r="I57" s="42">
        <f t="shared" si="1"/>
        <v>1</v>
      </c>
      <c r="J57" s="53">
        <f>COUNTIFS(H$2:H57, H57)-1</f>
        <v>18</v>
      </c>
      <c r="K57" s="42" cm="1">
        <f t="array" ref="K57">IF(I57=1,
    J57,
    MAX(IF(H:H=H57, J:J)) - J57
)</f>
        <v>18</v>
      </c>
    </row>
    <row r="58" spans="1:11" x14ac:dyDescent="0.2">
      <c r="A58" s="43" t="s">
        <v>9</v>
      </c>
      <c r="B58" s="44" t="s">
        <v>8</v>
      </c>
      <c r="C58" s="42">
        <f>VLOOKUP(Tabela13[[#This Row],[Origem]],Tabela1[],2,FALSE)</f>
        <v>10</v>
      </c>
      <c r="D58" s="42">
        <f>VLOOKUP(Tabela13[[#This Row],[Destino]],Tabela1[],2,FALSE)</f>
        <v>9</v>
      </c>
      <c r="E58" s="51" t="s">
        <v>214</v>
      </c>
      <c r="F58" s="52" t="s">
        <v>727</v>
      </c>
      <c r="H58" s="42" t="str">
        <f t="shared" si="0"/>
        <v>Bairro Bingen_Bairro Capela</v>
      </c>
      <c r="I58" s="42">
        <f t="shared" si="1"/>
        <v>-1</v>
      </c>
      <c r="J58" s="53">
        <f>COUNTIFS(H$2:H58, H58)-1</f>
        <v>6</v>
      </c>
      <c r="K58" s="42" cm="1">
        <f t="array" ref="K58">IF(I58=1,
    J58,
    MAX(IF(H:H=H58, J:J)) - J58
)</f>
        <v>5</v>
      </c>
    </row>
    <row r="59" spans="1:11" x14ac:dyDescent="0.2">
      <c r="A59" s="43" t="s">
        <v>9</v>
      </c>
      <c r="B59" s="44" t="s">
        <v>8</v>
      </c>
      <c r="C59" s="42">
        <f>VLOOKUP(Tabela13[[#This Row],[Origem]],Tabela1[],2,FALSE)</f>
        <v>10</v>
      </c>
      <c r="D59" s="42">
        <f>VLOOKUP(Tabela13[[#This Row],[Destino]],Tabela1[],2,FALSE)</f>
        <v>9</v>
      </c>
      <c r="E59" s="51" t="s">
        <v>215</v>
      </c>
      <c r="F59" s="52" t="s">
        <v>728</v>
      </c>
      <c r="H59" s="42" t="str">
        <f t="shared" si="0"/>
        <v>Bairro Bingen_Bairro Capela</v>
      </c>
      <c r="I59" s="42">
        <f t="shared" si="1"/>
        <v>-1</v>
      </c>
      <c r="J59" s="53">
        <f>COUNTIFS(H$2:H59, H59)-1</f>
        <v>7</v>
      </c>
      <c r="K59" s="42" cm="1">
        <f t="array" ref="K59">IF(I59=1,
    J59,
    MAX(IF(H:H=H59, J:J)) - J59
)</f>
        <v>4</v>
      </c>
    </row>
    <row r="60" spans="1:11" x14ac:dyDescent="0.2">
      <c r="A60" s="43" t="s">
        <v>9</v>
      </c>
      <c r="B60" s="44" t="s">
        <v>8</v>
      </c>
      <c r="C60" s="42">
        <f>VLOOKUP(Tabela13[[#This Row],[Origem]],Tabela1[],2,FALSE)</f>
        <v>10</v>
      </c>
      <c r="D60" s="42">
        <f>VLOOKUP(Tabela13[[#This Row],[Destino]],Tabela1[],2,FALSE)</f>
        <v>9</v>
      </c>
      <c r="E60" s="51" t="s">
        <v>216</v>
      </c>
      <c r="F60" s="52" t="s">
        <v>729</v>
      </c>
      <c r="H60" s="42" t="str">
        <f t="shared" si="0"/>
        <v>Bairro Bingen_Bairro Capela</v>
      </c>
      <c r="I60" s="42">
        <f t="shared" si="1"/>
        <v>-1</v>
      </c>
      <c r="J60" s="53">
        <f>COUNTIFS(H$2:H60, H60)-1</f>
        <v>8</v>
      </c>
      <c r="K60" s="42" cm="1">
        <f t="array" ref="K60">IF(I60=1,
    J60,
    MAX(IF(H:H=H60, J:J)) - J60
)</f>
        <v>3</v>
      </c>
    </row>
    <row r="61" spans="1:11" x14ac:dyDescent="0.2">
      <c r="A61" s="43" t="s">
        <v>9</v>
      </c>
      <c r="B61" s="44" t="s">
        <v>8</v>
      </c>
      <c r="C61" s="42">
        <f>VLOOKUP(Tabela13[[#This Row],[Origem]],Tabela1[],2,FALSE)</f>
        <v>10</v>
      </c>
      <c r="D61" s="42">
        <f>VLOOKUP(Tabela13[[#This Row],[Destino]],Tabela1[],2,FALSE)</f>
        <v>9</v>
      </c>
      <c r="E61" s="51" t="s">
        <v>217</v>
      </c>
      <c r="F61" s="52" t="s">
        <v>730</v>
      </c>
      <c r="H61" s="42" t="str">
        <f t="shared" si="0"/>
        <v>Bairro Bingen_Bairro Capela</v>
      </c>
      <c r="I61" s="42">
        <f t="shared" si="1"/>
        <v>-1</v>
      </c>
      <c r="J61" s="53">
        <f>COUNTIFS(H$2:H61, H61)-1</f>
        <v>9</v>
      </c>
      <c r="K61" s="42" cm="1">
        <f t="array" ref="K61">IF(I61=1,
    J61,
    MAX(IF(H:H=H61, J:J)) - J61
)</f>
        <v>2</v>
      </c>
    </row>
    <row r="62" spans="1:11" x14ac:dyDescent="0.2">
      <c r="A62" s="43" t="s">
        <v>9</v>
      </c>
      <c r="B62" s="44" t="s">
        <v>8</v>
      </c>
      <c r="C62" s="42">
        <f>VLOOKUP(Tabela13[[#This Row],[Origem]],Tabela1[],2,FALSE)</f>
        <v>10</v>
      </c>
      <c r="D62" s="42">
        <f>VLOOKUP(Tabela13[[#This Row],[Destino]],Tabela1[],2,FALSE)</f>
        <v>9</v>
      </c>
      <c r="E62" s="51" t="s">
        <v>218</v>
      </c>
      <c r="F62" s="52" t="s">
        <v>731</v>
      </c>
      <c r="H62" s="42" t="str">
        <f t="shared" si="0"/>
        <v>Bairro Bingen_Bairro Capela</v>
      </c>
      <c r="I62" s="42">
        <f t="shared" si="1"/>
        <v>-1</v>
      </c>
      <c r="J62" s="53">
        <f>COUNTIFS(H$2:H62, H62)-1</f>
        <v>10</v>
      </c>
      <c r="K62" s="42" cm="1">
        <f t="array" ref="K62">IF(I62=1,
    J62,
    MAX(IF(H:H=H62, J:J)) - J62
)</f>
        <v>1</v>
      </c>
    </row>
    <row r="63" spans="1:11" x14ac:dyDescent="0.2">
      <c r="A63" s="43" t="s">
        <v>9</v>
      </c>
      <c r="B63" s="44" t="s">
        <v>8</v>
      </c>
      <c r="C63" s="42">
        <f>VLOOKUP(Tabela13[[#This Row],[Origem]],Tabela1[],2,FALSE)</f>
        <v>10</v>
      </c>
      <c r="D63" s="42">
        <f>VLOOKUP(Tabela13[[#This Row],[Destino]],Tabela1[],2,FALSE)</f>
        <v>9</v>
      </c>
      <c r="E63" s="51" t="s">
        <v>219</v>
      </c>
      <c r="F63" s="52" t="s">
        <v>732</v>
      </c>
      <c r="H63" s="42" t="str">
        <f t="shared" si="0"/>
        <v>Bairro Bingen_Bairro Capela</v>
      </c>
      <c r="I63" s="42">
        <f t="shared" si="1"/>
        <v>-1</v>
      </c>
      <c r="J63" s="53">
        <f>COUNTIFS(H$2:H63, H63)-1</f>
        <v>11</v>
      </c>
      <c r="K63" s="42" cm="1">
        <f t="array" ref="K63">IF(I63=1,
    J63,
    MAX(IF(H:H=H63, J:J)) - J63
)</f>
        <v>0</v>
      </c>
    </row>
    <row r="64" spans="1:11" x14ac:dyDescent="0.2">
      <c r="A64" s="43" t="s">
        <v>10</v>
      </c>
      <c r="B64" s="44" t="s">
        <v>59</v>
      </c>
      <c r="C64" s="42">
        <f>VLOOKUP(Tabela13[[#This Row],[Origem]],Tabela1[],2,FALSE)</f>
        <v>11</v>
      </c>
      <c r="D64" s="42">
        <f>VLOOKUP(Tabela13[[#This Row],[Destino]],Tabela1[],2,FALSE)</f>
        <v>59</v>
      </c>
      <c r="E64" s="51" t="s">
        <v>239</v>
      </c>
      <c r="F64" s="52" t="s">
        <v>752</v>
      </c>
      <c r="H64" s="42" t="str">
        <f t="shared" si="0"/>
        <v>Bairro Castelânea_Ponte Fones</v>
      </c>
      <c r="I64" s="42">
        <f t="shared" si="1"/>
        <v>1</v>
      </c>
      <c r="J64" s="53">
        <f>COUNTIFS(H$2:H64, H64)-1</f>
        <v>0</v>
      </c>
      <c r="K64" s="42" cm="1">
        <f t="array" ref="K64">IF(I64=1,
    J64,
    MAX(IF(H:H=H64, J:J)) - J64
)</f>
        <v>0</v>
      </c>
    </row>
    <row r="65" spans="1:11" x14ac:dyDescent="0.2">
      <c r="A65" s="43" t="s">
        <v>10</v>
      </c>
      <c r="B65" s="44" t="s">
        <v>59</v>
      </c>
      <c r="C65" s="42">
        <f>VLOOKUP(Tabela13[[#This Row],[Origem]],Tabela1[],2,FALSE)</f>
        <v>11</v>
      </c>
      <c r="D65" s="42">
        <f>VLOOKUP(Tabela13[[#This Row],[Destino]],Tabela1[],2,FALSE)</f>
        <v>59</v>
      </c>
      <c r="E65" s="51" t="s">
        <v>240</v>
      </c>
      <c r="F65" s="52" t="s">
        <v>753</v>
      </c>
      <c r="H65" s="42" t="str">
        <f t="shared" si="0"/>
        <v>Bairro Castelânea_Ponte Fones</v>
      </c>
      <c r="I65" s="42">
        <f t="shared" si="1"/>
        <v>1</v>
      </c>
      <c r="J65" s="53">
        <f>COUNTIFS(H$2:H65, H65)-1</f>
        <v>1</v>
      </c>
      <c r="K65" s="42" cm="1">
        <f t="array" ref="K65">IF(I65=1,
    J65,
    MAX(IF(H:H=H65, J:J)) - J65
)</f>
        <v>1</v>
      </c>
    </row>
    <row r="66" spans="1:11" x14ac:dyDescent="0.2">
      <c r="A66" s="43" t="s">
        <v>10</v>
      </c>
      <c r="B66" s="44" t="s">
        <v>59</v>
      </c>
      <c r="C66" s="42">
        <f>VLOOKUP(Tabela13[[#This Row],[Origem]],Tabela1[],2,FALSE)</f>
        <v>11</v>
      </c>
      <c r="D66" s="42">
        <f>VLOOKUP(Tabela13[[#This Row],[Destino]],Tabela1[],2,FALSE)</f>
        <v>59</v>
      </c>
      <c r="E66" s="51" t="s">
        <v>241</v>
      </c>
      <c r="F66" s="52" t="s">
        <v>754</v>
      </c>
      <c r="H66" s="42" t="str">
        <f t="shared" ref="H66:H129" si="2">IF(A66&lt;B66, A66&amp;"_"&amp;B66, B66&amp;"_"&amp;A66)</f>
        <v>Bairro Castelânea_Ponte Fones</v>
      </c>
      <c r="I66" s="42">
        <f t="shared" ref="I66:I129" si="3">IF(A66&lt;B66, 1, -1)</f>
        <v>1</v>
      </c>
      <c r="J66" s="53">
        <f>COUNTIFS(H$2:H66, H66)-1</f>
        <v>2</v>
      </c>
      <c r="K66" s="42" cm="1">
        <f t="array" ref="K66">IF(I66=1,
    J66,
    MAX(IF(H:H=H66, J:J)) - J66
)</f>
        <v>2</v>
      </c>
    </row>
    <row r="67" spans="1:11" x14ac:dyDescent="0.2">
      <c r="A67" s="43" t="s">
        <v>10</v>
      </c>
      <c r="B67" s="44" t="s">
        <v>59</v>
      </c>
      <c r="C67" s="42">
        <f>VLOOKUP(Tabela13[[#This Row],[Origem]],Tabela1[],2,FALSE)</f>
        <v>11</v>
      </c>
      <c r="D67" s="42">
        <f>VLOOKUP(Tabela13[[#This Row],[Destino]],Tabela1[],2,FALSE)</f>
        <v>59</v>
      </c>
      <c r="E67" s="51" t="s">
        <v>242</v>
      </c>
      <c r="F67" s="52" t="s">
        <v>755</v>
      </c>
      <c r="H67" s="42" t="str">
        <f t="shared" si="2"/>
        <v>Bairro Castelânea_Ponte Fones</v>
      </c>
      <c r="I67" s="42">
        <f t="shared" si="3"/>
        <v>1</v>
      </c>
      <c r="J67" s="53">
        <f>COUNTIFS(H$2:H67, H67)-1</f>
        <v>3</v>
      </c>
      <c r="K67" s="42" cm="1">
        <f t="array" ref="K67">IF(I67=1,
    J67,
    MAX(IF(H:H=H67, J:J)) - J67
)</f>
        <v>3</v>
      </c>
    </row>
    <row r="68" spans="1:11" x14ac:dyDescent="0.2">
      <c r="A68" s="43" t="s">
        <v>10</v>
      </c>
      <c r="B68" s="44" t="s">
        <v>59</v>
      </c>
      <c r="C68" s="42">
        <f>VLOOKUP(Tabela13[[#This Row],[Origem]],Tabela1[],2,FALSE)</f>
        <v>11</v>
      </c>
      <c r="D68" s="42">
        <f>VLOOKUP(Tabela13[[#This Row],[Destino]],Tabela1[],2,FALSE)</f>
        <v>59</v>
      </c>
      <c r="E68" s="51" t="s">
        <v>243</v>
      </c>
      <c r="F68" s="52" t="s">
        <v>756</v>
      </c>
      <c r="H68" s="42" t="str">
        <f t="shared" si="2"/>
        <v>Bairro Castelânea_Ponte Fones</v>
      </c>
      <c r="I68" s="42">
        <f t="shared" si="3"/>
        <v>1</v>
      </c>
      <c r="J68" s="53">
        <f>COUNTIFS(H$2:H68, H68)-1</f>
        <v>4</v>
      </c>
      <c r="K68" s="42" cm="1">
        <f t="array" ref="K68">IF(I68=1,
    J68,
    MAX(IF(H:H=H68, J:J)) - J68
)</f>
        <v>4</v>
      </c>
    </row>
    <row r="69" spans="1:11" x14ac:dyDescent="0.2">
      <c r="A69" s="43" t="s">
        <v>10</v>
      </c>
      <c r="B69" s="44" t="s">
        <v>47</v>
      </c>
      <c r="C69" s="42">
        <f>VLOOKUP(Tabela13[[#This Row],[Origem]],Tabela1[],2,FALSE)</f>
        <v>11</v>
      </c>
      <c r="D69" s="42">
        <f>VLOOKUP(Tabela13[[#This Row],[Destino]],Tabela1[],2,FALSE)</f>
        <v>47</v>
      </c>
      <c r="E69" s="51" t="s">
        <v>244</v>
      </c>
      <c r="F69" s="52" t="s">
        <v>757</v>
      </c>
      <c r="H69" s="42" t="str">
        <f t="shared" si="2"/>
        <v>Bairro Castelânea_Loja Patrone</v>
      </c>
      <c r="I69" s="42">
        <f t="shared" si="3"/>
        <v>1</v>
      </c>
      <c r="J69" s="53">
        <f>COUNTIFS(H$2:H69, H69)-1</f>
        <v>0</v>
      </c>
      <c r="K69" s="42" cm="1">
        <f t="array" ref="K69">IF(I69=1,
    J69,
    MAX(IF(H:H=H69, J:J)) - J69
)</f>
        <v>0</v>
      </c>
    </row>
    <row r="70" spans="1:11" x14ac:dyDescent="0.2">
      <c r="A70" s="43" t="s">
        <v>10</v>
      </c>
      <c r="B70" s="44" t="s">
        <v>47</v>
      </c>
      <c r="C70" s="42">
        <f>VLOOKUP(Tabela13[[#This Row],[Origem]],Tabela1[],2,FALSE)</f>
        <v>11</v>
      </c>
      <c r="D70" s="42">
        <f>VLOOKUP(Tabela13[[#This Row],[Destino]],Tabela1[],2,FALSE)</f>
        <v>47</v>
      </c>
      <c r="E70" s="51" t="s">
        <v>245</v>
      </c>
      <c r="F70" s="52" t="s">
        <v>758</v>
      </c>
      <c r="H70" s="42" t="str">
        <f t="shared" si="2"/>
        <v>Bairro Castelânea_Loja Patrone</v>
      </c>
      <c r="I70" s="42">
        <f t="shared" si="3"/>
        <v>1</v>
      </c>
      <c r="J70" s="53">
        <f>COUNTIFS(H$2:H70, H70)-1</f>
        <v>1</v>
      </c>
      <c r="K70" s="42" cm="1">
        <f t="array" ref="K70">IF(I70=1,
    J70,
    MAX(IF(H:H=H70, J:J)) - J70
)</f>
        <v>1</v>
      </c>
    </row>
    <row r="71" spans="1:11" x14ac:dyDescent="0.2">
      <c r="A71" s="43" t="s">
        <v>10</v>
      </c>
      <c r="B71" s="44" t="s">
        <v>47</v>
      </c>
      <c r="C71" s="42">
        <f>VLOOKUP(Tabela13[[#This Row],[Origem]],Tabela1[],2,FALSE)</f>
        <v>11</v>
      </c>
      <c r="D71" s="42">
        <f>VLOOKUP(Tabela13[[#This Row],[Destino]],Tabela1[],2,FALSE)</f>
        <v>47</v>
      </c>
      <c r="E71" s="51" t="s">
        <v>246</v>
      </c>
      <c r="F71" s="52" t="s">
        <v>759</v>
      </c>
      <c r="H71" s="42" t="str">
        <f t="shared" si="2"/>
        <v>Bairro Castelânea_Loja Patrone</v>
      </c>
      <c r="I71" s="42">
        <f t="shared" si="3"/>
        <v>1</v>
      </c>
      <c r="J71" s="53">
        <f>COUNTIFS(H$2:H71, H71)-1</f>
        <v>2</v>
      </c>
      <c r="K71" s="42" cm="1">
        <f t="array" ref="K71">IF(I71=1,
    J71,
    MAX(IF(H:H=H71, J:J)) - J71
)</f>
        <v>2</v>
      </c>
    </row>
    <row r="72" spans="1:11" x14ac:dyDescent="0.2">
      <c r="A72" s="43" t="s">
        <v>10</v>
      </c>
      <c r="B72" s="44" t="s">
        <v>68</v>
      </c>
      <c r="C72" s="42">
        <f>VLOOKUP(Tabela13[[#This Row],[Origem]],Tabela1[],2,FALSE)</f>
        <v>11</v>
      </c>
      <c r="D72" s="42">
        <f>VLOOKUP(Tabela13[[#This Row],[Destino]],Tabela1[],2,FALSE)</f>
        <v>68</v>
      </c>
      <c r="E72" s="51" t="s">
        <v>247</v>
      </c>
      <c r="F72" s="52" t="s">
        <v>760</v>
      </c>
      <c r="H72" s="42" t="str">
        <f t="shared" si="2"/>
        <v>Bairro Castelânea_Praça Pasteur</v>
      </c>
      <c r="I72" s="42">
        <f t="shared" si="3"/>
        <v>1</v>
      </c>
      <c r="J72" s="53">
        <f>COUNTIFS(H$2:H72, H72)-1</f>
        <v>0</v>
      </c>
      <c r="K72" s="42" cm="1">
        <f t="array" ref="K72">IF(I72=1,
    J72,
    MAX(IF(H:H=H72, J:J)) - J72
)</f>
        <v>0</v>
      </c>
    </row>
    <row r="73" spans="1:11" x14ac:dyDescent="0.2">
      <c r="A73" s="43" t="s">
        <v>10</v>
      </c>
      <c r="B73" s="44" t="s">
        <v>68</v>
      </c>
      <c r="C73" s="42">
        <f>VLOOKUP(Tabela13[[#This Row],[Origem]],Tabela1[],2,FALSE)</f>
        <v>11</v>
      </c>
      <c r="D73" s="42">
        <f>VLOOKUP(Tabela13[[#This Row],[Destino]],Tabela1[],2,FALSE)</f>
        <v>68</v>
      </c>
      <c r="E73" s="51" t="s">
        <v>248</v>
      </c>
      <c r="F73" s="52" t="s">
        <v>761</v>
      </c>
      <c r="H73" s="42" t="str">
        <f t="shared" si="2"/>
        <v>Bairro Castelânea_Praça Pasteur</v>
      </c>
      <c r="I73" s="42">
        <f t="shared" si="3"/>
        <v>1</v>
      </c>
      <c r="J73" s="53">
        <f>COUNTIFS(H$2:H73, H73)-1</f>
        <v>1</v>
      </c>
      <c r="K73" s="42" cm="1">
        <f t="array" ref="K73">IF(I73=1,
    J73,
    MAX(IF(H:H=H73, J:J)) - J73
)</f>
        <v>1</v>
      </c>
    </row>
    <row r="74" spans="1:11" x14ac:dyDescent="0.2">
      <c r="A74" s="43" t="s">
        <v>10</v>
      </c>
      <c r="B74" s="44" t="s">
        <v>68</v>
      </c>
      <c r="C74" s="42">
        <f>VLOOKUP(Tabela13[[#This Row],[Origem]],Tabela1[],2,FALSE)</f>
        <v>11</v>
      </c>
      <c r="D74" s="42">
        <f>VLOOKUP(Tabela13[[#This Row],[Destino]],Tabela1[],2,FALSE)</f>
        <v>68</v>
      </c>
      <c r="E74" s="51" t="s">
        <v>249</v>
      </c>
      <c r="F74" s="52" t="s">
        <v>762</v>
      </c>
      <c r="H74" s="42" t="str">
        <f t="shared" si="2"/>
        <v>Bairro Castelânea_Praça Pasteur</v>
      </c>
      <c r="I74" s="42">
        <f t="shared" si="3"/>
        <v>1</v>
      </c>
      <c r="J74" s="53">
        <f>COUNTIFS(H$2:H74, H74)-1</f>
        <v>2</v>
      </c>
      <c r="K74" s="42" cm="1">
        <f t="array" ref="K74">IF(I74=1,
    J74,
    MAX(IF(H:H=H74, J:J)) - J74
)</f>
        <v>2</v>
      </c>
    </row>
    <row r="75" spans="1:11" x14ac:dyDescent="0.2">
      <c r="A75" s="43" t="s">
        <v>10</v>
      </c>
      <c r="B75" s="44" t="s">
        <v>68</v>
      </c>
      <c r="C75" s="42">
        <f>VLOOKUP(Tabela13[[#This Row],[Origem]],Tabela1[],2,FALSE)</f>
        <v>11</v>
      </c>
      <c r="D75" s="42">
        <f>VLOOKUP(Tabela13[[#This Row],[Destino]],Tabela1[],2,FALSE)</f>
        <v>68</v>
      </c>
      <c r="E75" s="51" t="s">
        <v>250</v>
      </c>
      <c r="F75" s="52" t="s">
        <v>763</v>
      </c>
      <c r="H75" s="42" t="str">
        <f t="shared" si="2"/>
        <v>Bairro Castelânea_Praça Pasteur</v>
      </c>
      <c r="I75" s="42">
        <f t="shared" si="3"/>
        <v>1</v>
      </c>
      <c r="J75" s="53">
        <f>COUNTIFS(H$2:H75, H75)-1</f>
        <v>3</v>
      </c>
      <c r="K75" s="42" cm="1">
        <f t="array" ref="K75">IF(I75=1,
    J75,
    MAX(IF(H:H=H75, J:J)) - J75
)</f>
        <v>3</v>
      </c>
    </row>
    <row r="76" spans="1:11" x14ac:dyDescent="0.2">
      <c r="A76" s="43" t="s">
        <v>10</v>
      </c>
      <c r="B76" s="44" t="s">
        <v>68</v>
      </c>
      <c r="C76" s="42">
        <f>VLOOKUP(Tabela13[[#This Row],[Origem]],Tabela1[],2,FALSE)</f>
        <v>11</v>
      </c>
      <c r="D76" s="42">
        <f>VLOOKUP(Tabela13[[#This Row],[Destino]],Tabela1[],2,FALSE)</f>
        <v>68</v>
      </c>
      <c r="E76" s="51" t="s">
        <v>251</v>
      </c>
      <c r="F76" s="52" t="s">
        <v>764</v>
      </c>
      <c r="H76" s="42" t="str">
        <f t="shared" si="2"/>
        <v>Bairro Castelânea_Praça Pasteur</v>
      </c>
      <c r="I76" s="42">
        <f t="shared" si="3"/>
        <v>1</v>
      </c>
      <c r="J76" s="53">
        <f>COUNTIFS(H$2:H76, H76)-1</f>
        <v>4</v>
      </c>
      <c r="K76" s="42" cm="1">
        <f t="array" ref="K76">IF(I76=1,
    J76,
    MAX(IF(H:H=H76, J:J)) - J76
)</f>
        <v>4</v>
      </c>
    </row>
    <row r="77" spans="1:11" x14ac:dyDescent="0.2">
      <c r="A77" s="43" t="s">
        <v>10</v>
      </c>
      <c r="B77" s="44" t="s">
        <v>68</v>
      </c>
      <c r="C77" s="42">
        <f>VLOOKUP(Tabela13[[#This Row],[Origem]],Tabela1[],2,FALSE)</f>
        <v>11</v>
      </c>
      <c r="D77" s="42">
        <f>VLOOKUP(Tabela13[[#This Row],[Destino]],Tabela1[],2,FALSE)</f>
        <v>68</v>
      </c>
      <c r="E77" s="51" t="s">
        <v>252</v>
      </c>
      <c r="F77" s="52" t="s">
        <v>765</v>
      </c>
      <c r="H77" s="42" t="str">
        <f t="shared" si="2"/>
        <v>Bairro Castelânea_Praça Pasteur</v>
      </c>
      <c r="I77" s="42">
        <f t="shared" si="3"/>
        <v>1</v>
      </c>
      <c r="J77" s="53">
        <f>COUNTIFS(H$2:H77, H77)-1</f>
        <v>5</v>
      </c>
      <c r="K77" s="42" cm="1">
        <f t="array" ref="K77">IF(I77=1,
    J77,
    MAX(IF(H:H=H77, J:J)) - J77
)</f>
        <v>5</v>
      </c>
    </row>
    <row r="78" spans="1:11" x14ac:dyDescent="0.2">
      <c r="A78" s="43" t="s">
        <v>10</v>
      </c>
      <c r="B78" s="44" t="s">
        <v>68</v>
      </c>
      <c r="C78" s="42">
        <f>VLOOKUP(Tabela13[[#This Row],[Origem]],Tabela1[],2,FALSE)</f>
        <v>11</v>
      </c>
      <c r="D78" s="42">
        <f>VLOOKUP(Tabela13[[#This Row],[Destino]],Tabela1[],2,FALSE)</f>
        <v>68</v>
      </c>
      <c r="E78" s="51" t="s">
        <v>253</v>
      </c>
      <c r="F78" s="52" t="s">
        <v>766</v>
      </c>
      <c r="H78" s="42" t="str">
        <f t="shared" si="2"/>
        <v>Bairro Castelânea_Praça Pasteur</v>
      </c>
      <c r="I78" s="42">
        <f t="shared" si="3"/>
        <v>1</v>
      </c>
      <c r="J78" s="53">
        <f>COUNTIFS(H$2:H78, H78)-1</f>
        <v>6</v>
      </c>
      <c r="K78" s="42" cm="1">
        <f t="array" ref="K78">IF(I78=1,
    J78,
    MAX(IF(H:H=H78, J:J)) - J78
)</f>
        <v>6</v>
      </c>
    </row>
    <row r="79" spans="1:11" x14ac:dyDescent="0.2">
      <c r="A79" s="43" t="s">
        <v>10</v>
      </c>
      <c r="B79" s="44" t="s">
        <v>68</v>
      </c>
      <c r="C79" s="42">
        <f>VLOOKUP(Tabela13[[#This Row],[Origem]],Tabela1[],2,FALSE)</f>
        <v>11</v>
      </c>
      <c r="D79" s="42">
        <f>VLOOKUP(Tabela13[[#This Row],[Destino]],Tabela1[],2,FALSE)</f>
        <v>68</v>
      </c>
      <c r="E79" s="51" t="s">
        <v>254</v>
      </c>
      <c r="F79" s="52" t="s">
        <v>767</v>
      </c>
      <c r="H79" s="42" t="str">
        <f t="shared" si="2"/>
        <v>Bairro Castelânea_Praça Pasteur</v>
      </c>
      <c r="I79" s="42">
        <f t="shared" si="3"/>
        <v>1</v>
      </c>
      <c r="J79" s="53">
        <f>COUNTIFS(H$2:H79, H79)-1</f>
        <v>7</v>
      </c>
      <c r="K79" s="42" cm="1">
        <f t="array" ref="K79">IF(I79=1,
    J79,
    MAX(IF(H:H=H79, J:J)) - J79
)</f>
        <v>7</v>
      </c>
    </row>
    <row r="80" spans="1:11" x14ac:dyDescent="0.2">
      <c r="A80" s="43" t="s">
        <v>10</v>
      </c>
      <c r="B80" s="44" t="s">
        <v>68</v>
      </c>
      <c r="C80" s="42">
        <f>VLOOKUP(Tabela13[[#This Row],[Origem]],Tabela1[],2,FALSE)</f>
        <v>11</v>
      </c>
      <c r="D80" s="42">
        <f>VLOOKUP(Tabela13[[#This Row],[Destino]],Tabela1[],2,FALSE)</f>
        <v>68</v>
      </c>
      <c r="E80" s="51" t="s">
        <v>255</v>
      </c>
      <c r="F80" s="52" t="s">
        <v>768</v>
      </c>
      <c r="H80" s="42" t="str">
        <f t="shared" si="2"/>
        <v>Bairro Castelânea_Praça Pasteur</v>
      </c>
      <c r="I80" s="42">
        <f t="shared" si="3"/>
        <v>1</v>
      </c>
      <c r="J80" s="53">
        <f>COUNTIFS(H$2:H80, H80)-1</f>
        <v>8</v>
      </c>
      <c r="K80" s="42" cm="1">
        <f t="array" ref="K80">IF(I80=1,
    J80,
    MAX(IF(H:H=H80, J:J)) - J80
)</f>
        <v>8</v>
      </c>
    </row>
    <row r="81" spans="1:11" x14ac:dyDescent="0.2">
      <c r="A81" s="43" t="s">
        <v>11</v>
      </c>
      <c r="B81" s="44" t="s">
        <v>12</v>
      </c>
      <c r="C81" s="42">
        <f>VLOOKUP(Tabela13[[#This Row],[Origem]],Tabela1[],2,FALSE)</f>
        <v>12</v>
      </c>
      <c r="D81" s="42">
        <f>VLOOKUP(Tabela13[[#This Row],[Destino]],Tabela1[],2,FALSE)</f>
        <v>13</v>
      </c>
      <c r="E81" s="51" t="s">
        <v>256</v>
      </c>
      <c r="F81" s="52" t="s">
        <v>769</v>
      </c>
      <c r="H81" s="42" t="str">
        <f t="shared" si="2"/>
        <v>Bairro Moinho Preto_Bairro Mosela</v>
      </c>
      <c r="I81" s="42">
        <f t="shared" si="3"/>
        <v>1</v>
      </c>
      <c r="J81" s="53">
        <f>COUNTIFS(H$2:H81, H81)-1</f>
        <v>0</v>
      </c>
      <c r="K81" s="42" cm="1">
        <f t="array" ref="K81">IF(I81=1,
    J81,
    MAX(IF(H:H=H81, J:J)) - J81
)</f>
        <v>0</v>
      </c>
    </row>
    <row r="82" spans="1:11" x14ac:dyDescent="0.2">
      <c r="A82" s="43" t="s">
        <v>11</v>
      </c>
      <c r="B82" s="44" t="s">
        <v>12</v>
      </c>
      <c r="C82" s="42">
        <f>VLOOKUP(Tabela13[[#This Row],[Origem]],Tabela1[],2,FALSE)</f>
        <v>12</v>
      </c>
      <c r="D82" s="42">
        <f>VLOOKUP(Tabela13[[#This Row],[Destino]],Tabela1[],2,FALSE)</f>
        <v>13</v>
      </c>
      <c r="E82" s="51" t="s">
        <v>257</v>
      </c>
      <c r="F82" s="52" t="s">
        <v>770</v>
      </c>
      <c r="H82" s="42" t="str">
        <f t="shared" si="2"/>
        <v>Bairro Moinho Preto_Bairro Mosela</v>
      </c>
      <c r="I82" s="42">
        <f t="shared" si="3"/>
        <v>1</v>
      </c>
      <c r="J82" s="53">
        <f>COUNTIFS(H$2:H82, H82)-1</f>
        <v>1</v>
      </c>
      <c r="K82" s="42" cm="1">
        <f t="array" ref="K82">IF(I82=1,
    J82,
    MAX(IF(H:H=H82, J:J)) - J82
)</f>
        <v>1</v>
      </c>
    </row>
    <row r="83" spans="1:11" x14ac:dyDescent="0.2">
      <c r="A83" s="43" t="s">
        <v>11</v>
      </c>
      <c r="B83" s="44" t="s">
        <v>12</v>
      </c>
      <c r="C83" s="42">
        <f>VLOOKUP(Tabela13[[#This Row],[Origem]],Tabela1[],2,FALSE)</f>
        <v>12</v>
      </c>
      <c r="D83" s="42">
        <f>VLOOKUP(Tabela13[[#This Row],[Destino]],Tabela1[],2,FALSE)</f>
        <v>13</v>
      </c>
      <c r="E83" s="51" t="s">
        <v>258</v>
      </c>
      <c r="F83" s="52" t="s">
        <v>771</v>
      </c>
      <c r="H83" s="42" t="str">
        <f t="shared" si="2"/>
        <v>Bairro Moinho Preto_Bairro Mosela</v>
      </c>
      <c r="I83" s="42">
        <f t="shared" si="3"/>
        <v>1</v>
      </c>
      <c r="J83" s="53">
        <f>COUNTIFS(H$2:H83, H83)-1</f>
        <v>2</v>
      </c>
      <c r="K83" s="42" cm="1">
        <f t="array" ref="K83">IF(I83=1,
    J83,
    MAX(IF(H:H=H83, J:J)) - J83
)</f>
        <v>2</v>
      </c>
    </row>
    <row r="84" spans="1:11" x14ac:dyDescent="0.2">
      <c r="A84" s="43" t="s">
        <v>11</v>
      </c>
      <c r="B84" s="44" t="s">
        <v>12</v>
      </c>
      <c r="C84" s="42">
        <f>VLOOKUP(Tabela13[[#This Row],[Origem]],Tabela1[],2,FALSE)</f>
        <v>12</v>
      </c>
      <c r="D84" s="42">
        <f>VLOOKUP(Tabela13[[#This Row],[Destino]],Tabela1[],2,FALSE)</f>
        <v>13</v>
      </c>
      <c r="E84" s="51" t="s">
        <v>259</v>
      </c>
      <c r="F84" s="52" t="s">
        <v>772</v>
      </c>
      <c r="H84" s="42" t="str">
        <f t="shared" si="2"/>
        <v>Bairro Moinho Preto_Bairro Mosela</v>
      </c>
      <c r="I84" s="42">
        <f t="shared" si="3"/>
        <v>1</v>
      </c>
      <c r="J84" s="53">
        <f>COUNTIFS(H$2:H84, H84)-1</f>
        <v>3</v>
      </c>
      <c r="K84" s="42" cm="1">
        <f t="array" ref="K84">IF(I84=1,
    J84,
    MAX(IF(H:H=H84, J:J)) - J84
)</f>
        <v>3</v>
      </c>
    </row>
    <row r="85" spans="1:11" x14ac:dyDescent="0.2">
      <c r="A85" s="43" t="s">
        <v>11</v>
      </c>
      <c r="B85" s="44" t="s">
        <v>12</v>
      </c>
      <c r="C85" s="42">
        <f>VLOOKUP(Tabela13[[#This Row],[Origem]],Tabela1[],2,FALSE)</f>
        <v>12</v>
      </c>
      <c r="D85" s="42">
        <f>VLOOKUP(Tabela13[[#This Row],[Destino]],Tabela1[],2,FALSE)</f>
        <v>13</v>
      </c>
      <c r="E85" s="51" t="s">
        <v>260</v>
      </c>
      <c r="F85" s="52" t="s">
        <v>773</v>
      </c>
      <c r="H85" s="42" t="str">
        <f t="shared" si="2"/>
        <v>Bairro Moinho Preto_Bairro Mosela</v>
      </c>
      <c r="I85" s="42">
        <f t="shared" si="3"/>
        <v>1</v>
      </c>
      <c r="J85" s="53">
        <f>COUNTIFS(H$2:H85, H85)-1</f>
        <v>4</v>
      </c>
      <c r="K85" s="42" cm="1">
        <f t="array" ref="K85">IF(I85=1,
    J85,
    MAX(IF(H:H=H85, J:J)) - J85
)</f>
        <v>4</v>
      </c>
    </row>
    <row r="86" spans="1:11" x14ac:dyDescent="0.2">
      <c r="A86" s="43" t="s">
        <v>11</v>
      </c>
      <c r="B86" s="44" t="s">
        <v>12</v>
      </c>
      <c r="C86" s="42">
        <f>VLOOKUP(Tabela13[[#This Row],[Origem]],Tabela1[],2,FALSE)</f>
        <v>12</v>
      </c>
      <c r="D86" s="42">
        <f>VLOOKUP(Tabela13[[#This Row],[Destino]],Tabela1[],2,FALSE)</f>
        <v>13</v>
      </c>
      <c r="E86" s="51" t="s">
        <v>261</v>
      </c>
      <c r="F86" s="52" t="s">
        <v>774</v>
      </c>
      <c r="H86" s="42" t="str">
        <f t="shared" si="2"/>
        <v>Bairro Moinho Preto_Bairro Mosela</v>
      </c>
      <c r="I86" s="42">
        <f t="shared" si="3"/>
        <v>1</v>
      </c>
      <c r="J86" s="53">
        <f>COUNTIFS(H$2:H86, H86)-1</f>
        <v>5</v>
      </c>
      <c r="K86" s="42" cm="1">
        <f t="array" ref="K86">IF(I86=1,
    J86,
    MAX(IF(H:H=H86, J:J)) - J86
)</f>
        <v>5</v>
      </c>
    </row>
    <row r="87" spans="1:11" x14ac:dyDescent="0.2">
      <c r="A87" s="43" t="s">
        <v>11</v>
      </c>
      <c r="B87" s="44" t="s">
        <v>12</v>
      </c>
      <c r="C87" s="42">
        <f>VLOOKUP(Tabela13[[#This Row],[Origem]],Tabela1[],2,FALSE)</f>
        <v>12</v>
      </c>
      <c r="D87" s="42">
        <f>VLOOKUP(Tabela13[[#This Row],[Destino]],Tabela1[],2,FALSE)</f>
        <v>13</v>
      </c>
      <c r="E87" s="51" t="s">
        <v>262</v>
      </c>
      <c r="F87" s="52" t="s">
        <v>775</v>
      </c>
      <c r="H87" s="42" t="str">
        <f t="shared" si="2"/>
        <v>Bairro Moinho Preto_Bairro Mosela</v>
      </c>
      <c r="I87" s="42">
        <f t="shared" si="3"/>
        <v>1</v>
      </c>
      <c r="J87" s="53">
        <f>COUNTIFS(H$2:H87, H87)-1</f>
        <v>6</v>
      </c>
      <c r="K87" s="42" cm="1">
        <f t="array" ref="K87">IF(I87=1,
    J87,
    MAX(IF(H:H=H87, J:J)) - J87
)</f>
        <v>6</v>
      </c>
    </row>
    <row r="88" spans="1:11" x14ac:dyDescent="0.2">
      <c r="A88" s="43" t="s">
        <v>11</v>
      </c>
      <c r="B88" s="44" t="s">
        <v>12</v>
      </c>
      <c r="C88" s="42">
        <f>VLOOKUP(Tabela13[[#This Row],[Origem]],Tabela1[],2,FALSE)</f>
        <v>12</v>
      </c>
      <c r="D88" s="42">
        <f>VLOOKUP(Tabela13[[#This Row],[Destino]],Tabela1[],2,FALSE)</f>
        <v>13</v>
      </c>
      <c r="E88" s="51" t="s">
        <v>263</v>
      </c>
      <c r="F88" s="52" t="s">
        <v>776</v>
      </c>
      <c r="H88" s="42" t="str">
        <f t="shared" si="2"/>
        <v>Bairro Moinho Preto_Bairro Mosela</v>
      </c>
      <c r="I88" s="42">
        <f t="shared" si="3"/>
        <v>1</v>
      </c>
      <c r="J88" s="53">
        <f>COUNTIFS(H$2:H88, H88)-1</f>
        <v>7</v>
      </c>
      <c r="K88" s="42" cm="1">
        <f t="array" ref="K88">IF(I88=1,
    J88,
    MAX(IF(H:H=H88, J:J)) - J88
)</f>
        <v>7</v>
      </c>
    </row>
    <row r="89" spans="1:11" x14ac:dyDescent="0.2">
      <c r="A89" s="43" t="s">
        <v>11</v>
      </c>
      <c r="B89" s="44" t="s">
        <v>12</v>
      </c>
      <c r="C89" s="42">
        <f>VLOOKUP(Tabela13[[#This Row],[Origem]],Tabela1[],2,FALSE)</f>
        <v>12</v>
      </c>
      <c r="D89" s="42">
        <f>VLOOKUP(Tabela13[[#This Row],[Destino]],Tabela1[],2,FALSE)</f>
        <v>13</v>
      </c>
      <c r="E89" s="51" t="s">
        <v>264</v>
      </c>
      <c r="F89" s="52" t="s">
        <v>777</v>
      </c>
      <c r="H89" s="42" t="str">
        <f t="shared" si="2"/>
        <v>Bairro Moinho Preto_Bairro Mosela</v>
      </c>
      <c r="I89" s="42">
        <f t="shared" si="3"/>
        <v>1</v>
      </c>
      <c r="J89" s="53">
        <f>COUNTIFS(H$2:H89, H89)-1</f>
        <v>8</v>
      </c>
      <c r="K89" s="42" cm="1">
        <f t="array" ref="K89">IF(I89=1,
    J89,
    MAX(IF(H:H=H89, J:J)) - J89
)</f>
        <v>8</v>
      </c>
    </row>
    <row r="90" spans="1:11" x14ac:dyDescent="0.2">
      <c r="A90" s="43" t="s">
        <v>11</v>
      </c>
      <c r="B90" s="44" t="s">
        <v>12</v>
      </c>
      <c r="C90" s="42">
        <f>VLOOKUP(Tabela13[[#This Row],[Origem]],Tabela1[],2,FALSE)</f>
        <v>12</v>
      </c>
      <c r="D90" s="42">
        <f>VLOOKUP(Tabela13[[#This Row],[Destino]],Tabela1[],2,FALSE)</f>
        <v>13</v>
      </c>
      <c r="E90" s="51" t="s">
        <v>265</v>
      </c>
      <c r="F90" s="52" t="s">
        <v>778</v>
      </c>
      <c r="H90" s="42" t="str">
        <f t="shared" si="2"/>
        <v>Bairro Moinho Preto_Bairro Mosela</v>
      </c>
      <c r="I90" s="42">
        <f t="shared" si="3"/>
        <v>1</v>
      </c>
      <c r="J90" s="53">
        <f>COUNTIFS(H$2:H90, H90)-1</f>
        <v>9</v>
      </c>
      <c r="K90" s="42" cm="1">
        <f t="array" ref="K90">IF(I90=1,
    J90,
    MAX(IF(H:H=H90, J:J)) - J90
)</f>
        <v>9</v>
      </c>
    </row>
    <row r="91" spans="1:11" x14ac:dyDescent="0.2">
      <c r="A91" s="43" t="s">
        <v>11</v>
      </c>
      <c r="B91" s="44" t="s">
        <v>12</v>
      </c>
      <c r="C91" s="42">
        <f>VLOOKUP(Tabela13[[#This Row],[Origem]],Tabela1[],2,FALSE)</f>
        <v>12</v>
      </c>
      <c r="D91" s="42">
        <f>VLOOKUP(Tabela13[[#This Row],[Destino]],Tabela1[],2,FALSE)</f>
        <v>13</v>
      </c>
      <c r="E91" s="51" t="s">
        <v>266</v>
      </c>
      <c r="F91" s="52" t="s">
        <v>779</v>
      </c>
      <c r="H91" s="42" t="str">
        <f t="shared" si="2"/>
        <v>Bairro Moinho Preto_Bairro Mosela</v>
      </c>
      <c r="I91" s="42">
        <f t="shared" si="3"/>
        <v>1</v>
      </c>
      <c r="J91" s="53">
        <f>COUNTIFS(H$2:H91, H91)-1</f>
        <v>10</v>
      </c>
      <c r="K91" s="42" cm="1">
        <f t="array" ref="K91">IF(I91=1,
    J91,
    MAX(IF(H:H=H91, J:J)) - J91
)</f>
        <v>10</v>
      </c>
    </row>
    <row r="92" spans="1:11" x14ac:dyDescent="0.2">
      <c r="A92" s="43" t="s">
        <v>11</v>
      </c>
      <c r="B92" s="44" t="s">
        <v>12</v>
      </c>
      <c r="C92" s="42">
        <f>VLOOKUP(Tabela13[[#This Row],[Origem]],Tabela1[],2,FALSE)</f>
        <v>12</v>
      </c>
      <c r="D92" s="42">
        <f>VLOOKUP(Tabela13[[#This Row],[Destino]],Tabela1[],2,FALSE)</f>
        <v>13</v>
      </c>
      <c r="E92" s="51" t="s">
        <v>267</v>
      </c>
      <c r="F92" s="52" t="s">
        <v>780</v>
      </c>
      <c r="H92" s="42" t="str">
        <f t="shared" si="2"/>
        <v>Bairro Moinho Preto_Bairro Mosela</v>
      </c>
      <c r="I92" s="42">
        <f t="shared" si="3"/>
        <v>1</v>
      </c>
      <c r="J92" s="53">
        <f>COUNTIFS(H$2:H92, H92)-1</f>
        <v>11</v>
      </c>
      <c r="K92" s="42" cm="1">
        <f t="array" ref="K92">IF(I92=1,
    J92,
    MAX(IF(H:H=H92, J:J)) - J92
)</f>
        <v>11</v>
      </c>
    </row>
    <row r="93" spans="1:11" x14ac:dyDescent="0.2">
      <c r="A93" s="43" t="s">
        <v>11</v>
      </c>
      <c r="B93" s="44" t="s">
        <v>12</v>
      </c>
      <c r="C93" s="42">
        <f>VLOOKUP(Tabela13[[#This Row],[Origem]],Tabela1[],2,FALSE)</f>
        <v>12</v>
      </c>
      <c r="D93" s="42">
        <f>VLOOKUP(Tabela13[[#This Row],[Destino]],Tabela1[],2,FALSE)</f>
        <v>13</v>
      </c>
      <c r="E93" s="51" t="s">
        <v>268</v>
      </c>
      <c r="F93" s="52" t="s">
        <v>781</v>
      </c>
      <c r="H93" s="42" t="str">
        <f t="shared" si="2"/>
        <v>Bairro Moinho Preto_Bairro Mosela</v>
      </c>
      <c r="I93" s="42">
        <f t="shared" si="3"/>
        <v>1</v>
      </c>
      <c r="J93" s="53">
        <f>COUNTIFS(H$2:H93, H93)-1</f>
        <v>12</v>
      </c>
      <c r="K93" s="42" cm="1">
        <f t="array" ref="K93">IF(I93=1,
    J93,
    MAX(IF(H:H=H93, J:J)) - J93
)</f>
        <v>12</v>
      </c>
    </row>
    <row r="94" spans="1:11" x14ac:dyDescent="0.2">
      <c r="A94" s="43" t="s">
        <v>11</v>
      </c>
      <c r="B94" s="44" t="s">
        <v>12</v>
      </c>
      <c r="C94" s="42">
        <f>VLOOKUP(Tabela13[[#This Row],[Origem]],Tabela1[],2,FALSE)</f>
        <v>12</v>
      </c>
      <c r="D94" s="42">
        <f>VLOOKUP(Tabela13[[#This Row],[Destino]],Tabela1[],2,FALSE)</f>
        <v>13</v>
      </c>
      <c r="E94" s="51" t="s">
        <v>269</v>
      </c>
      <c r="F94" s="52" t="s">
        <v>782</v>
      </c>
      <c r="H94" s="42" t="str">
        <f t="shared" si="2"/>
        <v>Bairro Moinho Preto_Bairro Mosela</v>
      </c>
      <c r="I94" s="42">
        <f t="shared" si="3"/>
        <v>1</v>
      </c>
      <c r="J94" s="53">
        <f>COUNTIFS(H$2:H94, H94)-1</f>
        <v>13</v>
      </c>
      <c r="K94" s="42" cm="1">
        <f t="array" ref="K94">IF(I94=1,
    J94,
    MAX(IF(H:H=H94, J:J)) - J94
)</f>
        <v>13</v>
      </c>
    </row>
    <row r="95" spans="1:11" x14ac:dyDescent="0.2">
      <c r="A95" s="43" t="s">
        <v>11</v>
      </c>
      <c r="B95" s="44" t="s">
        <v>12</v>
      </c>
      <c r="C95" s="42">
        <f>VLOOKUP(Tabela13[[#This Row],[Origem]],Tabela1[],2,FALSE)</f>
        <v>12</v>
      </c>
      <c r="D95" s="42">
        <f>VLOOKUP(Tabela13[[#This Row],[Destino]],Tabela1[],2,FALSE)</f>
        <v>13</v>
      </c>
      <c r="E95" s="51" t="s">
        <v>270</v>
      </c>
      <c r="F95" s="52" t="s">
        <v>783</v>
      </c>
      <c r="H95" s="42" t="str">
        <f t="shared" si="2"/>
        <v>Bairro Moinho Preto_Bairro Mosela</v>
      </c>
      <c r="I95" s="42">
        <f t="shared" si="3"/>
        <v>1</v>
      </c>
      <c r="J95" s="53">
        <f>COUNTIFS(H$2:H95, H95)-1</f>
        <v>14</v>
      </c>
      <c r="K95" s="42" cm="1">
        <f t="array" ref="K95">IF(I95=1,
    J95,
    MAX(IF(H:H=H95, J:J)) - J95
)</f>
        <v>14</v>
      </c>
    </row>
    <row r="96" spans="1:11" x14ac:dyDescent="0.2">
      <c r="A96" s="43" t="s">
        <v>11</v>
      </c>
      <c r="B96" s="44" t="s">
        <v>12</v>
      </c>
      <c r="C96" s="42">
        <f>VLOOKUP(Tabela13[[#This Row],[Origem]],Tabela1[],2,FALSE)</f>
        <v>12</v>
      </c>
      <c r="D96" s="42">
        <f>VLOOKUP(Tabela13[[#This Row],[Destino]],Tabela1[],2,FALSE)</f>
        <v>13</v>
      </c>
      <c r="E96" s="51" t="s">
        <v>271</v>
      </c>
      <c r="F96" s="52" t="s">
        <v>784</v>
      </c>
      <c r="H96" s="42" t="str">
        <f t="shared" si="2"/>
        <v>Bairro Moinho Preto_Bairro Mosela</v>
      </c>
      <c r="I96" s="42">
        <f t="shared" si="3"/>
        <v>1</v>
      </c>
      <c r="J96" s="53">
        <f>COUNTIFS(H$2:H96, H96)-1</f>
        <v>15</v>
      </c>
      <c r="K96" s="42" cm="1">
        <f t="array" ref="K96">IF(I96=1,
    J96,
    MAX(IF(H:H=H96, J:J)) - J96
)</f>
        <v>15</v>
      </c>
    </row>
    <row r="97" spans="1:11" x14ac:dyDescent="0.2">
      <c r="A97" s="43" t="s">
        <v>11</v>
      </c>
      <c r="B97" s="44" t="s">
        <v>12</v>
      </c>
      <c r="C97" s="42">
        <f>VLOOKUP(Tabela13[[#This Row],[Origem]],Tabela1[],2,FALSE)</f>
        <v>12</v>
      </c>
      <c r="D97" s="42">
        <f>VLOOKUP(Tabela13[[#This Row],[Destino]],Tabela1[],2,FALSE)</f>
        <v>13</v>
      </c>
      <c r="E97" s="51" t="s">
        <v>272</v>
      </c>
      <c r="F97" s="52" t="s">
        <v>785</v>
      </c>
      <c r="H97" s="42" t="str">
        <f t="shared" si="2"/>
        <v>Bairro Moinho Preto_Bairro Mosela</v>
      </c>
      <c r="I97" s="42">
        <f t="shared" si="3"/>
        <v>1</v>
      </c>
      <c r="J97" s="53">
        <f>COUNTIFS(H$2:H97, H97)-1</f>
        <v>16</v>
      </c>
      <c r="K97" s="42" cm="1">
        <f t="array" ref="K97">IF(I97=1,
    J97,
    MAX(IF(H:H=H97, J:J)) - J97
)</f>
        <v>16</v>
      </c>
    </row>
    <row r="98" spans="1:11" x14ac:dyDescent="0.2">
      <c r="A98" s="43" t="s">
        <v>11</v>
      </c>
      <c r="B98" s="44" t="s">
        <v>12</v>
      </c>
      <c r="C98" s="42">
        <f>VLOOKUP(Tabela13[[#This Row],[Origem]],Tabela1[],2,FALSE)</f>
        <v>12</v>
      </c>
      <c r="D98" s="42">
        <f>VLOOKUP(Tabela13[[#This Row],[Destino]],Tabela1[],2,FALSE)</f>
        <v>13</v>
      </c>
      <c r="E98" s="51" t="s">
        <v>273</v>
      </c>
      <c r="F98" s="52" t="s">
        <v>786</v>
      </c>
      <c r="H98" s="42" t="str">
        <f t="shared" si="2"/>
        <v>Bairro Moinho Preto_Bairro Mosela</v>
      </c>
      <c r="I98" s="42">
        <f t="shared" si="3"/>
        <v>1</v>
      </c>
      <c r="J98" s="53">
        <f>COUNTIFS(H$2:H98, H98)-1</f>
        <v>17</v>
      </c>
      <c r="K98" s="42" cm="1">
        <f t="array" ref="K98">IF(I98=1,
    J98,
    MAX(IF(H:H=H98, J:J)) - J98
)</f>
        <v>17</v>
      </c>
    </row>
    <row r="99" spans="1:11" x14ac:dyDescent="0.2">
      <c r="A99" s="43" t="s">
        <v>11</v>
      </c>
      <c r="B99" s="44" t="s">
        <v>12</v>
      </c>
      <c r="C99" s="42">
        <f>VLOOKUP(Tabela13[[#This Row],[Origem]],Tabela1[],2,FALSE)</f>
        <v>12</v>
      </c>
      <c r="D99" s="42">
        <f>VLOOKUP(Tabela13[[#This Row],[Destino]],Tabela1[],2,FALSE)</f>
        <v>13</v>
      </c>
      <c r="E99" s="51" t="s">
        <v>274</v>
      </c>
      <c r="F99" s="52" t="s">
        <v>787</v>
      </c>
      <c r="H99" s="42" t="str">
        <f t="shared" si="2"/>
        <v>Bairro Moinho Preto_Bairro Mosela</v>
      </c>
      <c r="I99" s="42">
        <f t="shared" si="3"/>
        <v>1</v>
      </c>
      <c r="J99" s="53">
        <f>COUNTIFS(H$2:H99, H99)-1</f>
        <v>18</v>
      </c>
      <c r="K99" s="42" cm="1">
        <f t="array" ref="K99">IF(I99=1,
    J99,
    MAX(IF(H:H=H99, J:J)) - J99
)</f>
        <v>18</v>
      </c>
    </row>
    <row r="100" spans="1:11" x14ac:dyDescent="0.2">
      <c r="A100" s="43" t="s">
        <v>11</v>
      </c>
      <c r="B100" s="44" t="s">
        <v>12</v>
      </c>
      <c r="C100" s="42">
        <f>VLOOKUP(Tabela13[[#This Row],[Origem]],Tabela1[],2,FALSE)</f>
        <v>12</v>
      </c>
      <c r="D100" s="42">
        <f>VLOOKUP(Tabela13[[#This Row],[Destino]],Tabela1[],2,FALSE)</f>
        <v>13</v>
      </c>
      <c r="E100" s="51" t="s">
        <v>275</v>
      </c>
      <c r="F100" s="52" t="s">
        <v>788</v>
      </c>
      <c r="H100" s="42" t="str">
        <f t="shared" si="2"/>
        <v>Bairro Moinho Preto_Bairro Mosela</v>
      </c>
      <c r="I100" s="42">
        <f t="shared" si="3"/>
        <v>1</v>
      </c>
      <c r="J100" s="53">
        <f>COUNTIFS(H$2:H100, H100)-1</f>
        <v>19</v>
      </c>
      <c r="K100" s="42" cm="1">
        <f t="array" ref="K100">IF(I100=1,
    J100,
    MAX(IF(H:H=H100, J:J)) - J100
)</f>
        <v>19</v>
      </c>
    </row>
    <row r="101" spans="1:11" x14ac:dyDescent="0.2">
      <c r="A101" s="43" t="s">
        <v>11</v>
      </c>
      <c r="B101" s="44" t="s">
        <v>12</v>
      </c>
      <c r="C101" s="42">
        <f>VLOOKUP(Tabela13[[#This Row],[Origem]],Tabela1[],2,FALSE)</f>
        <v>12</v>
      </c>
      <c r="D101" s="42">
        <f>VLOOKUP(Tabela13[[#This Row],[Destino]],Tabela1[],2,FALSE)</f>
        <v>13</v>
      </c>
      <c r="E101" s="51" t="s">
        <v>276</v>
      </c>
      <c r="F101" s="52" t="s">
        <v>789</v>
      </c>
      <c r="H101" s="42" t="str">
        <f t="shared" si="2"/>
        <v>Bairro Moinho Preto_Bairro Mosela</v>
      </c>
      <c r="I101" s="42">
        <f t="shared" si="3"/>
        <v>1</v>
      </c>
      <c r="J101" s="53">
        <f>COUNTIFS(H$2:H101, H101)-1</f>
        <v>20</v>
      </c>
      <c r="K101" s="42" cm="1">
        <f t="array" ref="K101">IF(I101=1,
    J101,
    MAX(IF(H:H=H101, J:J)) - J101
)</f>
        <v>20</v>
      </c>
    </row>
    <row r="102" spans="1:11" x14ac:dyDescent="0.2">
      <c r="A102" s="43" t="s">
        <v>11</v>
      </c>
      <c r="B102" s="44" t="s">
        <v>12</v>
      </c>
      <c r="C102" s="42">
        <f>VLOOKUP(Tabela13[[#This Row],[Origem]],Tabela1[],2,FALSE)</f>
        <v>12</v>
      </c>
      <c r="D102" s="42">
        <f>VLOOKUP(Tabela13[[#This Row],[Destino]],Tabela1[],2,FALSE)</f>
        <v>13</v>
      </c>
      <c r="E102" s="51" t="s">
        <v>277</v>
      </c>
      <c r="F102" s="52" t="s">
        <v>790</v>
      </c>
      <c r="H102" s="42" t="str">
        <f t="shared" si="2"/>
        <v>Bairro Moinho Preto_Bairro Mosela</v>
      </c>
      <c r="I102" s="42">
        <f t="shared" si="3"/>
        <v>1</v>
      </c>
      <c r="J102" s="53">
        <f>COUNTIFS(H$2:H102, H102)-1</f>
        <v>21</v>
      </c>
      <c r="K102" s="42" cm="1">
        <f t="array" ref="K102">IF(I102=1,
    J102,
    MAX(IF(H:H=H102, J:J)) - J102
)</f>
        <v>21</v>
      </c>
    </row>
    <row r="103" spans="1:11" x14ac:dyDescent="0.2">
      <c r="A103" s="43" t="s">
        <v>11</v>
      </c>
      <c r="B103" s="44" t="s">
        <v>12</v>
      </c>
      <c r="C103" s="42">
        <f>VLOOKUP(Tabela13[[#This Row],[Origem]],Tabela1[],2,FALSE)</f>
        <v>12</v>
      </c>
      <c r="D103" s="42">
        <f>VLOOKUP(Tabela13[[#This Row],[Destino]],Tabela1[],2,FALSE)</f>
        <v>13</v>
      </c>
      <c r="E103" s="51" t="s">
        <v>278</v>
      </c>
      <c r="F103" s="52" t="s">
        <v>791</v>
      </c>
      <c r="H103" s="42" t="str">
        <f t="shared" si="2"/>
        <v>Bairro Moinho Preto_Bairro Mosela</v>
      </c>
      <c r="I103" s="42">
        <f t="shared" si="3"/>
        <v>1</v>
      </c>
      <c r="J103" s="53">
        <f>COUNTIFS(H$2:H103, H103)-1</f>
        <v>22</v>
      </c>
      <c r="K103" s="42" cm="1">
        <f t="array" ref="K103">IF(I103=1,
    J103,
    MAX(IF(H:H=H103, J:J)) - J103
)</f>
        <v>22</v>
      </c>
    </row>
    <row r="104" spans="1:11" x14ac:dyDescent="0.2">
      <c r="A104" s="43" t="s">
        <v>11</v>
      </c>
      <c r="B104" s="44" t="s">
        <v>12</v>
      </c>
      <c r="C104" s="42">
        <f>VLOOKUP(Tabela13[[#This Row],[Origem]],Tabela1[],2,FALSE)</f>
        <v>12</v>
      </c>
      <c r="D104" s="42">
        <f>VLOOKUP(Tabela13[[#This Row],[Destino]],Tabela1[],2,FALSE)</f>
        <v>13</v>
      </c>
      <c r="E104" s="51" t="s">
        <v>279</v>
      </c>
      <c r="F104" s="52" t="s">
        <v>792</v>
      </c>
      <c r="H104" s="42" t="str">
        <f t="shared" si="2"/>
        <v>Bairro Moinho Preto_Bairro Mosela</v>
      </c>
      <c r="I104" s="42">
        <f t="shared" si="3"/>
        <v>1</v>
      </c>
      <c r="J104" s="53">
        <f>COUNTIFS(H$2:H104, H104)-1</f>
        <v>23</v>
      </c>
      <c r="K104" s="42" cm="1">
        <f t="array" ref="K104">IF(I104=1,
    J104,
    MAX(IF(H:H=H104, J:J)) - J104
)</f>
        <v>23</v>
      </c>
    </row>
    <row r="105" spans="1:11" x14ac:dyDescent="0.2">
      <c r="A105" s="43" t="s">
        <v>11</v>
      </c>
      <c r="B105" s="44" t="s">
        <v>12</v>
      </c>
      <c r="C105" s="42">
        <f>VLOOKUP(Tabela13[[#This Row],[Origem]],Tabela1[],2,FALSE)</f>
        <v>12</v>
      </c>
      <c r="D105" s="42">
        <f>VLOOKUP(Tabela13[[#This Row],[Destino]],Tabela1[],2,FALSE)</f>
        <v>13</v>
      </c>
      <c r="E105" s="51" t="s">
        <v>280</v>
      </c>
      <c r="F105" s="52" t="s">
        <v>793</v>
      </c>
      <c r="H105" s="42" t="str">
        <f t="shared" si="2"/>
        <v>Bairro Moinho Preto_Bairro Mosela</v>
      </c>
      <c r="I105" s="42">
        <f t="shared" si="3"/>
        <v>1</v>
      </c>
      <c r="J105" s="53">
        <f>COUNTIFS(H$2:H105, H105)-1</f>
        <v>24</v>
      </c>
      <c r="K105" s="42" cm="1">
        <f t="array" ref="K105">IF(I105=1,
    J105,
    MAX(IF(H:H=H105, J:J)) - J105
)</f>
        <v>24</v>
      </c>
    </row>
    <row r="106" spans="1:11" x14ac:dyDescent="0.2">
      <c r="A106" s="43" t="s">
        <v>11</v>
      </c>
      <c r="B106" s="44" t="s">
        <v>12</v>
      </c>
      <c r="C106" s="42">
        <f>VLOOKUP(Tabela13[[#This Row],[Origem]],Tabela1[],2,FALSE)</f>
        <v>12</v>
      </c>
      <c r="D106" s="42">
        <f>VLOOKUP(Tabela13[[#This Row],[Destino]],Tabela1[],2,FALSE)</f>
        <v>13</v>
      </c>
      <c r="E106" s="51" t="s">
        <v>281</v>
      </c>
      <c r="F106" s="52" t="s">
        <v>794</v>
      </c>
      <c r="H106" s="42" t="str">
        <f t="shared" si="2"/>
        <v>Bairro Moinho Preto_Bairro Mosela</v>
      </c>
      <c r="I106" s="42">
        <f t="shared" si="3"/>
        <v>1</v>
      </c>
      <c r="J106" s="53">
        <f>COUNTIFS(H$2:H106, H106)-1</f>
        <v>25</v>
      </c>
      <c r="K106" s="42" cm="1">
        <f t="array" ref="K106">IF(I106=1,
    J106,
    MAX(IF(H:H=H106, J:J)) - J106
)</f>
        <v>25</v>
      </c>
    </row>
    <row r="107" spans="1:11" x14ac:dyDescent="0.2">
      <c r="A107" s="43" t="s">
        <v>11</v>
      </c>
      <c r="B107" s="44" t="s">
        <v>12</v>
      </c>
      <c r="C107" s="42">
        <f>VLOOKUP(Tabela13[[#This Row],[Origem]],Tabela1[],2,FALSE)</f>
        <v>12</v>
      </c>
      <c r="D107" s="42">
        <f>VLOOKUP(Tabela13[[#This Row],[Destino]],Tabela1[],2,FALSE)</f>
        <v>13</v>
      </c>
      <c r="E107" s="51" t="s">
        <v>282</v>
      </c>
      <c r="F107" s="52" t="s">
        <v>795</v>
      </c>
      <c r="H107" s="42" t="str">
        <f t="shared" si="2"/>
        <v>Bairro Moinho Preto_Bairro Mosela</v>
      </c>
      <c r="I107" s="42">
        <f t="shared" si="3"/>
        <v>1</v>
      </c>
      <c r="J107" s="53">
        <f>COUNTIFS(H$2:H107, H107)-1</f>
        <v>26</v>
      </c>
      <c r="K107" s="42" cm="1">
        <f t="array" ref="K107">IF(I107=1,
    J107,
    MAX(IF(H:H=H107, J:J)) - J107
)</f>
        <v>26</v>
      </c>
    </row>
    <row r="108" spans="1:11" x14ac:dyDescent="0.2">
      <c r="A108" s="43" t="s">
        <v>11</v>
      </c>
      <c r="B108" s="44" t="s">
        <v>12</v>
      </c>
      <c r="C108" s="42">
        <f>VLOOKUP(Tabela13[[#This Row],[Origem]],Tabela1[],2,FALSE)</f>
        <v>12</v>
      </c>
      <c r="D108" s="42">
        <f>VLOOKUP(Tabela13[[#This Row],[Destino]],Tabela1[],2,FALSE)</f>
        <v>13</v>
      </c>
      <c r="E108" s="51" t="s">
        <v>283</v>
      </c>
      <c r="F108" s="52" t="s">
        <v>796</v>
      </c>
      <c r="H108" s="42" t="str">
        <f t="shared" si="2"/>
        <v>Bairro Moinho Preto_Bairro Mosela</v>
      </c>
      <c r="I108" s="42">
        <f t="shared" si="3"/>
        <v>1</v>
      </c>
      <c r="J108" s="53">
        <f>COUNTIFS(H$2:H108, H108)-1</f>
        <v>27</v>
      </c>
      <c r="K108" s="42" cm="1">
        <f t="array" ref="K108">IF(I108=1,
    J108,
    MAX(IF(H:H=H108, J:J)) - J108
)</f>
        <v>27</v>
      </c>
    </row>
    <row r="109" spans="1:11" x14ac:dyDescent="0.2">
      <c r="A109" s="43" t="s">
        <v>11</v>
      </c>
      <c r="B109" s="44" t="s">
        <v>12</v>
      </c>
      <c r="C109" s="42">
        <f>VLOOKUP(Tabela13[[#This Row],[Origem]],Tabela1[],2,FALSE)</f>
        <v>12</v>
      </c>
      <c r="D109" s="42">
        <f>VLOOKUP(Tabela13[[#This Row],[Destino]],Tabela1[],2,FALSE)</f>
        <v>13</v>
      </c>
      <c r="E109" s="51" t="s">
        <v>284</v>
      </c>
      <c r="F109" s="52" t="s">
        <v>797</v>
      </c>
      <c r="H109" s="42" t="str">
        <f t="shared" si="2"/>
        <v>Bairro Moinho Preto_Bairro Mosela</v>
      </c>
      <c r="I109" s="42">
        <f t="shared" si="3"/>
        <v>1</v>
      </c>
      <c r="J109" s="53">
        <f>COUNTIFS(H$2:H109, H109)-1</f>
        <v>28</v>
      </c>
      <c r="K109" s="42" cm="1">
        <f t="array" ref="K109">IF(I109=1,
    J109,
    MAX(IF(H:H=H109, J:J)) - J109
)</f>
        <v>28</v>
      </c>
    </row>
    <row r="110" spans="1:11" x14ac:dyDescent="0.2">
      <c r="A110" s="43" t="s">
        <v>11</v>
      </c>
      <c r="B110" s="44" t="s">
        <v>12</v>
      </c>
      <c r="C110" s="42">
        <f>VLOOKUP(Tabela13[[#This Row],[Origem]],Tabela1[],2,FALSE)</f>
        <v>12</v>
      </c>
      <c r="D110" s="42">
        <f>VLOOKUP(Tabela13[[#This Row],[Destino]],Tabela1[],2,FALSE)</f>
        <v>13</v>
      </c>
      <c r="E110" s="51" t="s">
        <v>285</v>
      </c>
      <c r="F110" s="52" t="s">
        <v>798</v>
      </c>
      <c r="H110" s="42" t="str">
        <f t="shared" si="2"/>
        <v>Bairro Moinho Preto_Bairro Mosela</v>
      </c>
      <c r="I110" s="42">
        <f t="shared" si="3"/>
        <v>1</v>
      </c>
      <c r="J110" s="53">
        <f>COUNTIFS(H$2:H110, H110)-1</f>
        <v>29</v>
      </c>
      <c r="K110" s="42" cm="1">
        <f t="array" ref="K110">IF(I110=1,
    J110,
    MAX(IF(H:H=H110, J:J)) - J110
)</f>
        <v>29</v>
      </c>
    </row>
    <row r="111" spans="1:11" x14ac:dyDescent="0.2">
      <c r="A111" s="43" t="s">
        <v>11</v>
      </c>
      <c r="B111" s="44" t="s">
        <v>12</v>
      </c>
      <c r="C111" s="42">
        <f>VLOOKUP(Tabela13[[#This Row],[Origem]],Tabela1[],2,FALSE)</f>
        <v>12</v>
      </c>
      <c r="D111" s="42">
        <f>VLOOKUP(Tabela13[[#This Row],[Destino]],Tabela1[],2,FALSE)</f>
        <v>13</v>
      </c>
      <c r="E111" s="51" t="s">
        <v>286</v>
      </c>
      <c r="F111" s="52" t="s">
        <v>799</v>
      </c>
      <c r="H111" s="42" t="str">
        <f t="shared" si="2"/>
        <v>Bairro Moinho Preto_Bairro Mosela</v>
      </c>
      <c r="I111" s="42">
        <f t="shared" si="3"/>
        <v>1</v>
      </c>
      <c r="J111" s="53">
        <f>COUNTIFS(H$2:H111, H111)-1</f>
        <v>30</v>
      </c>
      <c r="K111" s="42" cm="1">
        <f t="array" ref="K111">IF(I111=1,
    J111,
    MAX(IF(H:H=H111, J:J)) - J111
)</f>
        <v>30</v>
      </c>
    </row>
    <row r="112" spans="1:11" x14ac:dyDescent="0.2">
      <c r="A112" s="43" t="s">
        <v>11</v>
      </c>
      <c r="B112" s="44" t="s">
        <v>12</v>
      </c>
      <c r="C112" s="42">
        <f>VLOOKUP(Tabela13[[#This Row],[Origem]],Tabela1[],2,FALSE)</f>
        <v>12</v>
      </c>
      <c r="D112" s="42">
        <f>VLOOKUP(Tabela13[[#This Row],[Destino]],Tabela1[],2,FALSE)</f>
        <v>13</v>
      </c>
      <c r="E112" s="51" t="s">
        <v>287</v>
      </c>
      <c r="F112" s="52" t="s">
        <v>800</v>
      </c>
      <c r="H112" s="42" t="str">
        <f t="shared" si="2"/>
        <v>Bairro Moinho Preto_Bairro Mosela</v>
      </c>
      <c r="I112" s="42">
        <f t="shared" si="3"/>
        <v>1</v>
      </c>
      <c r="J112" s="53">
        <f>COUNTIFS(H$2:H112, H112)-1</f>
        <v>31</v>
      </c>
      <c r="K112" s="42" cm="1">
        <f t="array" ref="K112">IF(I112=1,
    J112,
    MAX(IF(H:H=H112, J:J)) - J112
)</f>
        <v>31</v>
      </c>
    </row>
    <row r="113" spans="1:11" x14ac:dyDescent="0.2">
      <c r="A113" s="43" t="s">
        <v>11</v>
      </c>
      <c r="B113" s="44" t="s">
        <v>12</v>
      </c>
      <c r="C113" s="42">
        <f>VLOOKUP(Tabela13[[#This Row],[Origem]],Tabela1[],2,FALSE)</f>
        <v>12</v>
      </c>
      <c r="D113" s="42">
        <f>VLOOKUP(Tabela13[[#This Row],[Destino]],Tabela1[],2,FALSE)</f>
        <v>13</v>
      </c>
      <c r="E113" s="51" t="s">
        <v>288</v>
      </c>
      <c r="F113" s="52" t="s">
        <v>801</v>
      </c>
      <c r="H113" s="42" t="str">
        <f t="shared" si="2"/>
        <v>Bairro Moinho Preto_Bairro Mosela</v>
      </c>
      <c r="I113" s="42">
        <f t="shared" si="3"/>
        <v>1</v>
      </c>
      <c r="J113" s="53">
        <f>COUNTIFS(H$2:H113, H113)-1</f>
        <v>32</v>
      </c>
      <c r="K113" s="42" cm="1">
        <f t="array" ref="K113">IF(I113=1,
    J113,
    MAX(IF(H:H=H113, J:J)) - J113
)</f>
        <v>32</v>
      </c>
    </row>
    <row r="114" spans="1:11" x14ac:dyDescent="0.2">
      <c r="A114" s="43" t="s">
        <v>11</v>
      </c>
      <c r="B114" s="44" t="s">
        <v>12</v>
      </c>
      <c r="C114" s="42">
        <f>VLOOKUP(Tabela13[[#This Row],[Origem]],Tabela1[],2,FALSE)</f>
        <v>12</v>
      </c>
      <c r="D114" s="42">
        <f>VLOOKUP(Tabela13[[#This Row],[Destino]],Tabela1[],2,FALSE)</f>
        <v>13</v>
      </c>
      <c r="E114" s="51" t="s">
        <v>289</v>
      </c>
      <c r="F114" s="52" t="s">
        <v>802</v>
      </c>
      <c r="H114" s="42" t="str">
        <f t="shared" si="2"/>
        <v>Bairro Moinho Preto_Bairro Mosela</v>
      </c>
      <c r="I114" s="42">
        <f t="shared" si="3"/>
        <v>1</v>
      </c>
      <c r="J114" s="53">
        <f>COUNTIFS(H$2:H114, H114)-1</f>
        <v>33</v>
      </c>
      <c r="K114" s="42" cm="1">
        <f t="array" ref="K114">IF(I114=1,
    J114,
    MAX(IF(H:H=H114, J:J)) - J114
)</f>
        <v>33</v>
      </c>
    </row>
    <row r="115" spans="1:11" x14ac:dyDescent="0.2">
      <c r="A115" s="43" t="s">
        <v>11</v>
      </c>
      <c r="B115" s="44" t="s">
        <v>12</v>
      </c>
      <c r="C115" s="42">
        <f>VLOOKUP(Tabela13[[#This Row],[Origem]],Tabela1[],2,FALSE)</f>
        <v>12</v>
      </c>
      <c r="D115" s="42">
        <f>VLOOKUP(Tabela13[[#This Row],[Destino]],Tabela1[],2,FALSE)</f>
        <v>13</v>
      </c>
      <c r="E115" s="51" t="s">
        <v>290</v>
      </c>
      <c r="F115" s="52" t="s">
        <v>803</v>
      </c>
      <c r="H115" s="42" t="str">
        <f t="shared" si="2"/>
        <v>Bairro Moinho Preto_Bairro Mosela</v>
      </c>
      <c r="I115" s="42">
        <f t="shared" si="3"/>
        <v>1</v>
      </c>
      <c r="J115" s="53">
        <f>COUNTIFS(H$2:H115, H115)-1</f>
        <v>34</v>
      </c>
      <c r="K115" s="42" cm="1">
        <f t="array" ref="K115">IF(I115=1,
    J115,
    MAX(IF(H:H=H115, J:J)) - J115
)</f>
        <v>34</v>
      </c>
    </row>
    <row r="116" spans="1:11" x14ac:dyDescent="0.2">
      <c r="A116" s="43" t="s">
        <v>11</v>
      </c>
      <c r="B116" s="44" t="s">
        <v>12</v>
      </c>
      <c r="C116" s="42">
        <f>VLOOKUP(Tabela13[[#This Row],[Origem]],Tabela1[],2,FALSE)</f>
        <v>12</v>
      </c>
      <c r="D116" s="42">
        <f>VLOOKUP(Tabela13[[#This Row],[Destino]],Tabela1[],2,FALSE)</f>
        <v>13</v>
      </c>
      <c r="E116" s="51" t="s">
        <v>291</v>
      </c>
      <c r="F116" s="52" t="s">
        <v>804</v>
      </c>
      <c r="H116" s="42" t="str">
        <f t="shared" si="2"/>
        <v>Bairro Moinho Preto_Bairro Mosela</v>
      </c>
      <c r="I116" s="42">
        <f t="shared" si="3"/>
        <v>1</v>
      </c>
      <c r="J116" s="53">
        <f>COUNTIFS(H$2:H116, H116)-1</f>
        <v>35</v>
      </c>
      <c r="K116" s="42" cm="1">
        <f t="array" ref="K116">IF(I116=1,
    J116,
    MAX(IF(H:H=H116, J:J)) - J116
)</f>
        <v>35</v>
      </c>
    </row>
    <row r="117" spans="1:11" x14ac:dyDescent="0.2">
      <c r="A117" s="43" t="s">
        <v>11</v>
      </c>
      <c r="B117" s="44" t="s">
        <v>12</v>
      </c>
      <c r="C117" s="42">
        <f>VLOOKUP(Tabela13[[#This Row],[Origem]],Tabela1[],2,FALSE)</f>
        <v>12</v>
      </c>
      <c r="D117" s="42">
        <f>VLOOKUP(Tabela13[[#This Row],[Destino]],Tabela1[],2,FALSE)</f>
        <v>13</v>
      </c>
      <c r="E117" s="51" t="s">
        <v>292</v>
      </c>
      <c r="F117" s="52" t="s">
        <v>805</v>
      </c>
      <c r="H117" s="42" t="str">
        <f t="shared" si="2"/>
        <v>Bairro Moinho Preto_Bairro Mosela</v>
      </c>
      <c r="I117" s="42">
        <f t="shared" si="3"/>
        <v>1</v>
      </c>
      <c r="J117" s="53">
        <f>COUNTIFS(H$2:H117, H117)-1</f>
        <v>36</v>
      </c>
      <c r="K117" s="42" cm="1">
        <f t="array" ref="K117">IF(I117=1,
    J117,
    MAX(IF(H:H=H117, J:J)) - J117
)</f>
        <v>36</v>
      </c>
    </row>
    <row r="118" spans="1:11" x14ac:dyDescent="0.2">
      <c r="A118" s="43" t="s">
        <v>11</v>
      </c>
      <c r="B118" s="44" t="s">
        <v>12</v>
      </c>
      <c r="C118" s="42">
        <f>VLOOKUP(Tabela13[[#This Row],[Origem]],Tabela1[],2,FALSE)</f>
        <v>12</v>
      </c>
      <c r="D118" s="42">
        <f>VLOOKUP(Tabela13[[#This Row],[Destino]],Tabela1[],2,FALSE)</f>
        <v>13</v>
      </c>
      <c r="E118" s="51" t="s">
        <v>293</v>
      </c>
      <c r="F118" s="52" t="s">
        <v>806</v>
      </c>
      <c r="H118" s="42" t="str">
        <f t="shared" si="2"/>
        <v>Bairro Moinho Preto_Bairro Mosela</v>
      </c>
      <c r="I118" s="42">
        <f t="shared" si="3"/>
        <v>1</v>
      </c>
      <c r="J118" s="53">
        <f>COUNTIFS(H$2:H118, H118)-1</f>
        <v>37</v>
      </c>
      <c r="K118" s="42" cm="1">
        <f t="array" ref="K118">IF(I118=1,
    J118,
    MAX(IF(H:H=H118, J:J)) - J118
)</f>
        <v>37</v>
      </c>
    </row>
    <row r="119" spans="1:11" x14ac:dyDescent="0.2">
      <c r="A119" s="43" t="s">
        <v>12</v>
      </c>
      <c r="B119" s="44" t="s">
        <v>11</v>
      </c>
      <c r="C119" s="42">
        <f>VLOOKUP(Tabela13[[#This Row],[Origem]],Tabela1[],2,FALSE)</f>
        <v>13</v>
      </c>
      <c r="D119" s="42">
        <f>VLOOKUP(Tabela13[[#This Row],[Destino]],Tabela1[],2,FALSE)</f>
        <v>12</v>
      </c>
      <c r="E119" s="51" t="s">
        <v>256</v>
      </c>
      <c r="F119" s="52" t="s">
        <v>769</v>
      </c>
      <c r="H119" s="42" t="str">
        <f t="shared" si="2"/>
        <v>Bairro Moinho Preto_Bairro Mosela</v>
      </c>
      <c r="I119" s="42">
        <f t="shared" si="3"/>
        <v>-1</v>
      </c>
      <c r="J119" s="53">
        <f>COUNTIFS(H$2:H119, H119)-1</f>
        <v>38</v>
      </c>
      <c r="K119" s="42" cm="1">
        <f t="array" ref="K119">IF(I119=1,
    J119,
    MAX(IF(H:H=H119, J:J)) - J119
)</f>
        <v>37</v>
      </c>
    </row>
    <row r="120" spans="1:11" x14ac:dyDescent="0.2">
      <c r="A120" s="43" t="s">
        <v>12</v>
      </c>
      <c r="B120" s="44" t="s">
        <v>11</v>
      </c>
      <c r="C120" s="42">
        <f>VLOOKUP(Tabela13[[#This Row],[Origem]],Tabela1[],2,FALSE)</f>
        <v>13</v>
      </c>
      <c r="D120" s="42">
        <f>VLOOKUP(Tabela13[[#This Row],[Destino]],Tabela1[],2,FALSE)</f>
        <v>12</v>
      </c>
      <c r="E120" s="51" t="s">
        <v>257</v>
      </c>
      <c r="F120" s="52" t="s">
        <v>770</v>
      </c>
      <c r="H120" s="42" t="str">
        <f t="shared" si="2"/>
        <v>Bairro Moinho Preto_Bairro Mosela</v>
      </c>
      <c r="I120" s="42">
        <f t="shared" si="3"/>
        <v>-1</v>
      </c>
      <c r="J120" s="53">
        <f>COUNTIFS(H$2:H120, H120)-1</f>
        <v>39</v>
      </c>
      <c r="K120" s="42" cm="1">
        <f t="array" ref="K120">IF(I120=1,
    J120,
    MAX(IF(H:H=H120, J:J)) - J120
)</f>
        <v>36</v>
      </c>
    </row>
    <row r="121" spans="1:11" x14ac:dyDescent="0.2">
      <c r="A121" s="43" t="s">
        <v>12</v>
      </c>
      <c r="B121" s="44" t="s">
        <v>11</v>
      </c>
      <c r="C121" s="42">
        <f>VLOOKUP(Tabela13[[#This Row],[Origem]],Tabela1[],2,FALSE)</f>
        <v>13</v>
      </c>
      <c r="D121" s="42">
        <f>VLOOKUP(Tabela13[[#This Row],[Destino]],Tabela1[],2,FALSE)</f>
        <v>12</v>
      </c>
      <c r="E121" s="51" t="s">
        <v>258</v>
      </c>
      <c r="F121" s="52" t="s">
        <v>771</v>
      </c>
      <c r="H121" s="42" t="str">
        <f t="shared" si="2"/>
        <v>Bairro Moinho Preto_Bairro Mosela</v>
      </c>
      <c r="I121" s="42">
        <f t="shared" si="3"/>
        <v>-1</v>
      </c>
      <c r="J121" s="53">
        <f>COUNTIFS(H$2:H121, H121)-1</f>
        <v>40</v>
      </c>
      <c r="K121" s="42" cm="1">
        <f t="array" ref="K121">IF(I121=1,
    J121,
    MAX(IF(H:H=H121, J:J)) - J121
)</f>
        <v>35</v>
      </c>
    </row>
    <row r="122" spans="1:11" x14ac:dyDescent="0.2">
      <c r="A122" s="43" t="s">
        <v>12</v>
      </c>
      <c r="B122" s="44" t="s">
        <v>11</v>
      </c>
      <c r="C122" s="42">
        <f>VLOOKUP(Tabela13[[#This Row],[Origem]],Tabela1[],2,FALSE)</f>
        <v>13</v>
      </c>
      <c r="D122" s="42">
        <f>VLOOKUP(Tabela13[[#This Row],[Destino]],Tabela1[],2,FALSE)</f>
        <v>12</v>
      </c>
      <c r="E122" s="51" t="s">
        <v>259</v>
      </c>
      <c r="F122" s="52" t="s">
        <v>772</v>
      </c>
      <c r="H122" s="42" t="str">
        <f t="shared" si="2"/>
        <v>Bairro Moinho Preto_Bairro Mosela</v>
      </c>
      <c r="I122" s="42">
        <f t="shared" si="3"/>
        <v>-1</v>
      </c>
      <c r="J122" s="53">
        <f>COUNTIFS(H$2:H122, H122)-1</f>
        <v>41</v>
      </c>
      <c r="K122" s="42" cm="1">
        <f t="array" ref="K122">IF(I122=1,
    J122,
    MAX(IF(H:H=H122, J:J)) - J122
)</f>
        <v>34</v>
      </c>
    </row>
    <row r="123" spans="1:11" x14ac:dyDescent="0.2">
      <c r="A123" s="43" t="s">
        <v>12</v>
      </c>
      <c r="B123" s="44" t="s">
        <v>11</v>
      </c>
      <c r="C123" s="42">
        <f>VLOOKUP(Tabela13[[#This Row],[Origem]],Tabela1[],2,FALSE)</f>
        <v>13</v>
      </c>
      <c r="D123" s="42">
        <f>VLOOKUP(Tabela13[[#This Row],[Destino]],Tabela1[],2,FALSE)</f>
        <v>12</v>
      </c>
      <c r="E123" s="51" t="s">
        <v>260</v>
      </c>
      <c r="F123" s="52" t="s">
        <v>773</v>
      </c>
      <c r="H123" s="42" t="str">
        <f t="shared" si="2"/>
        <v>Bairro Moinho Preto_Bairro Mosela</v>
      </c>
      <c r="I123" s="42">
        <f t="shared" si="3"/>
        <v>-1</v>
      </c>
      <c r="J123" s="53">
        <f>COUNTIFS(H$2:H123, H123)-1</f>
        <v>42</v>
      </c>
      <c r="K123" s="42" cm="1">
        <f t="array" ref="K123">IF(I123=1,
    J123,
    MAX(IF(H:H=H123, J:J)) - J123
)</f>
        <v>33</v>
      </c>
    </row>
    <row r="124" spans="1:11" x14ac:dyDescent="0.2">
      <c r="A124" s="43" t="s">
        <v>12</v>
      </c>
      <c r="B124" s="44" t="s">
        <v>11</v>
      </c>
      <c r="C124" s="42">
        <f>VLOOKUP(Tabela13[[#This Row],[Origem]],Tabela1[],2,FALSE)</f>
        <v>13</v>
      </c>
      <c r="D124" s="42">
        <f>VLOOKUP(Tabela13[[#This Row],[Destino]],Tabela1[],2,FALSE)</f>
        <v>12</v>
      </c>
      <c r="E124" s="51" t="s">
        <v>261</v>
      </c>
      <c r="F124" s="52" t="s">
        <v>774</v>
      </c>
      <c r="H124" s="42" t="str">
        <f t="shared" si="2"/>
        <v>Bairro Moinho Preto_Bairro Mosela</v>
      </c>
      <c r="I124" s="42">
        <f t="shared" si="3"/>
        <v>-1</v>
      </c>
      <c r="J124" s="53">
        <f>COUNTIFS(H$2:H124, H124)-1</f>
        <v>43</v>
      </c>
      <c r="K124" s="42" cm="1">
        <f t="array" ref="K124">IF(I124=1,
    J124,
    MAX(IF(H:H=H124, J:J)) - J124
)</f>
        <v>32</v>
      </c>
    </row>
    <row r="125" spans="1:11" x14ac:dyDescent="0.2">
      <c r="A125" s="43" t="s">
        <v>12</v>
      </c>
      <c r="B125" s="44" t="s">
        <v>11</v>
      </c>
      <c r="C125" s="42">
        <f>VLOOKUP(Tabela13[[#This Row],[Origem]],Tabela1[],2,FALSE)</f>
        <v>13</v>
      </c>
      <c r="D125" s="42">
        <f>VLOOKUP(Tabela13[[#This Row],[Destino]],Tabela1[],2,FALSE)</f>
        <v>12</v>
      </c>
      <c r="E125" s="51" t="s">
        <v>262</v>
      </c>
      <c r="F125" s="52" t="s">
        <v>775</v>
      </c>
      <c r="H125" s="42" t="str">
        <f t="shared" si="2"/>
        <v>Bairro Moinho Preto_Bairro Mosela</v>
      </c>
      <c r="I125" s="42">
        <f t="shared" si="3"/>
        <v>-1</v>
      </c>
      <c r="J125" s="53">
        <f>COUNTIFS(H$2:H125, H125)-1</f>
        <v>44</v>
      </c>
      <c r="K125" s="42" cm="1">
        <f t="array" ref="K125">IF(I125=1,
    J125,
    MAX(IF(H:H=H125, J:J)) - J125
)</f>
        <v>31</v>
      </c>
    </row>
    <row r="126" spans="1:11" x14ac:dyDescent="0.2">
      <c r="A126" s="43" t="s">
        <v>12</v>
      </c>
      <c r="B126" s="44" t="s">
        <v>11</v>
      </c>
      <c r="C126" s="42">
        <f>VLOOKUP(Tabela13[[#This Row],[Origem]],Tabela1[],2,FALSE)</f>
        <v>13</v>
      </c>
      <c r="D126" s="42">
        <f>VLOOKUP(Tabela13[[#This Row],[Destino]],Tabela1[],2,FALSE)</f>
        <v>12</v>
      </c>
      <c r="E126" s="51" t="s">
        <v>263</v>
      </c>
      <c r="F126" s="52" t="s">
        <v>776</v>
      </c>
      <c r="H126" s="42" t="str">
        <f t="shared" si="2"/>
        <v>Bairro Moinho Preto_Bairro Mosela</v>
      </c>
      <c r="I126" s="42">
        <f t="shared" si="3"/>
        <v>-1</v>
      </c>
      <c r="J126" s="53">
        <f>COUNTIFS(H$2:H126, H126)-1</f>
        <v>45</v>
      </c>
      <c r="K126" s="42" cm="1">
        <f t="array" ref="K126">IF(I126=1,
    J126,
    MAX(IF(H:H=H126, J:J)) - J126
)</f>
        <v>30</v>
      </c>
    </row>
    <row r="127" spans="1:11" x14ac:dyDescent="0.2">
      <c r="A127" s="43" t="s">
        <v>12</v>
      </c>
      <c r="B127" s="44" t="s">
        <v>11</v>
      </c>
      <c r="C127" s="42">
        <f>VLOOKUP(Tabela13[[#This Row],[Origem]],Tabela1[],2,FALSE)</f>
        <v>13</v>
      </c>
      <c r="D127" s="42">
        <f>VLOOKUP(Tabela13[[#This Row],[Destino]],Tabela1[],2,FALSE)</f>
        <v>12</v>
      </c>
      <c r="E127" s="51" t="s">
        <v>264</v>
      </c>
      <c r="F127" s="52" t="s">
        <v>777</v>
      </c>
      <c r="H127" s="42" t="str">
        <f t="shared" si="2"/>
        <v>Bairro Moinho Preto_Bairro Mosela</v>
      </c>
      <c r="I127" s="42">
        <f t="shared" si="3"/>
        <v>-1</v>
      </c>
      <c r="J127" s="53">
        <f>COUNTIFS(H$2:H127, H127)-1</f>
        <v>46</v>
      </c>
      <c r="K127" s="42" cm="1">
        <f t="array" ref="K127">IF(I127=1,
    J127,
    MAX(IF(H:H=H127, J:J)) - J127
)</f>
        <v>29</v>
      </c>
    </row>
    <row r="128" spans="1:11" x14ac:dyDescent="0.2">
      <c r="A128" s="43" t="s">
        <v>12</v>
      </c>
      <c r="B128" s="44" t="s">
        <v>11</v>
      </c>
      <c r="C128" s="42">
        <f>VLOOKUP(Tabela13[[#This Row],[Origem]],Tabela1[],2,FALSE)</f>
        <v>13</v>
      </c>
      <c r="D128" s="42">
        <f>VLOOKUP(Tabela13[[#This Row],[Destino]],Tabela1[],2,FALSE)</f>
        <v>12</v>
      </c>
      <c r="E128" s="51" t="s">
        <v>265</v>
      </c>
      <c r="F128" s="52" t="s">
        <v>778</v>
      </c>
      <c r="H128" s="42" t="str">
        <f t="shared" si="2"/>
        <v>Bairro Moinho Preto_Bairro Mosela</v>
      </c>
      <c r="I128" s="42">
        <f t="shared" si="3"/>
        <v>-1</v>
      </c>
      <c r="J128" s="53">
        <f>COUNTIFS(H$2:H128, H128)-1</f>
        <v>47</v>
      </c>
      <c r="K128" s="42" cm="1">
        <f t="array" ref="K128">IF(I128=1,
    J128,
    MAX(IF(H:H=H128, J:J)) - J128
)</f>
        <v>28</v>
      </c>
    </row>
    <row r="129" spans="1:11" x14ac:dyDescent="0.2">
      <c r="A129" s="43" t="s">
        <v>12</v>
      </c>
      <c r="B129" s="44" t="s">
        <v>11</v>
      </c>
      <c r="C129" s="42">
        <f>VLOOKUP(Tabela13[[#This Row],[Origem]],Tabela1[],2,FALSE)</f>
        <v>13</v>
      </c>
      <c r="D129" s="42">
        <f>VLOOKUP(Tabela13[[#This Row],[Destino]],Tabela1[],2,FALSE)</f>
        <v>12</v>
      </c>
      <c r="E129" s="51" t="s">
        <v>266</v>
      </c>
      <c r="F129" s="52" t="s">
        <v>779</v>
      </c>
      <c r="H129" s="42" t="str">
        <f t="shared" si="2"/>
        <v>Bairro Moinho Preto_Bairro Mosela</v>
      </c>
      <c r="I129" s="42">
        <f t="shared" si="3"/>
        <v>-1</v>
      </c>
      <c r="J129" s="53">
        <f>COUNTIFS(H$2:H129, H129)-1</f>
        <v>48</v>
      </c>
      <c r="K129" s="42" cm="1">
        <f t="array" ref="K129">IF(I129=1,
    J129,
    MAX(IF(H:H=H129, J:J)) - J129
)</f>
        <v>27</v>
      </c>
    </row>
    <row r="130" spans="1:11" x14ac:dyDescent="0.2">
      <c r="A130" s="43" t="s">
        <v>12</v>
      </c>
      <c r="B130" s="44" t="s">
        <v>11</v>
      </c>
      <c r="C130" s="42">
        <f>VLOOKUP(Tabela13[[#This Row],[Origem]],Tabela1[],2,FALSE)</f>
        <v>13</v>
      </c>
      <c r="D130" s="42">
        <f>VLOOKUP(Tabela13[[#This Row],[Destino]],Tabela1[],2,FALSE)</f>
        <v>12</v>
      </c>
      <c r="E130" s="51" t="s">
        <v>267</v>
      </c>
      <c r="F130" s="52" t="s">
        <v>780</v>
      </c>
      <c r="H130" s="42" t="str">
        <f t="shared" ref="H130:H193" si="4">IF(A130&lt;B130, A130&amp;"_"&amp;B130, B130&amp;"_"&amp;A130)</f>
        <v>Bairro Moinho Preto_Bairro Mosela</v>
      </c>
      <c r="I130" s="42">
        <f t="shared" ref="I130:I193" si="5">IF(A130&lt;B130, 1, -1)</f>
        <v>-1</v>
      </c>
      <c r="J130" s="53">
        <f>COUNTIFS(H$2:H130, H130)-1</f>
        <v>49</v>
      </c>
      <c r="K130" s="42" cm="1">
        <f t="array" ref="K130">IF(I130=1,
    J130,
    MAX(IF(H:H=H130, J:J)) - J130
)</f>
        <v>26</v>
      </c>
    </row>
    <row r="131" spans="1:11" x14ac:dyDescent="0.2">
      <c r="A131" s="43" t="s">
        <v>12</v>
      </c>
      <c r="B131" s="44" t="s">
        <v>11</v>
      </c>
      <c r="C131" s="42">
        <f>VLOOKUP(Tabela13[[#This Row],[Origem]],Tabela1[],2,FALSE)</f>
        <v>13</v>
      </c>
      <c r="D131" s="42">
        <f>VLOOKUP(Tabela13[[#This Row],[Destino]],Tabela1[],2,FALSE)</f>
        <v>12</v>
      </c>
      <c r="E131" s="51" t="s">
        <v>268</v>
      </c>
      <c r="F131" s="52" t="s">
        <v>781</v>
      </c>
      <c r="H131" s="42" t="str">
        <f t="shared" si="4"/>
        <v>Bairro Moinho Preto_Bairro Mosela</v>
      </c>
      <c r="I131" s="42">
        <f t="shared" si="5"/>
        <v>-1</v>
      </c>
      <c r="J131" s="53">
        <f>COUNTIFS(H$2:H131, H131)-1</f>
        <v>50</v>
      </c>
      <c r="K131" s="42" cm="1">
        <f t="array" ref="K131">IF(I131=1,
    J131,
    MAX(IF(H:H=H131, J:J)) - J131
)</f>
        <v>25</v>
      </c>
    </row>
    <row r="132" spans="1:11" x14ac:dyDescent="0.2">
      <c r="A132" s="43" t="s">
        <v>12</v>
      </c>
      <c r="B132" s="44" t="s">
        <v>11</v>
      </c>
      <c r="C132" s="42">
        <f>VLOOKUP(Tabela13[[#This Row],[Origem]],Tabela1[],2,FALSE)</f>
        <v>13</v>
      </c>
      <c r="D132" s="42">
        <f>VLOOKUP(Tabela13[[#This Row],[Destino]],Tabela1[],2,FALSE)</f>
        <v>12</v>
      </c>
      <c r="E132" s="51" t="s">
        <v>269</v>
      </c>
      <c r="F132" s="52" t="s">
        <v>782</v>
      </c>
      <c r="H132" s="42" t="str">
        <f t="shared" si="4"/>
        <v>Bairro Moinho Preto_Bairro Mosela</v>
      </c>
      <c r="I132" s="42">
        <f t="shared" si="5"/>
        <v>-1</v>
      </c>
      <c r="J132" s="53">
        <f>COUNTIFS(H$2:H132, H132)-1</f>
        <v>51</v>
      </c>
      <c r="K132" s="42" cm="1">
        <f t="array" ref="K132">IF(I132=1,
    J132,
    MAX(IF(H:H=H132, J:J)) - J132
)</f>
        <v>24</v>
      </c>
    </row>
    <row r="133" spans="1:11" x14ac:dyDescent="0.2">
      <c r="A133" s="43" t="s">
        <v>12</v>
      </c>
      <c r="B133" s="44" t="s">
        <v>11</v>
      </c>
      <c r="C133" s="42">
        <f>VLOOKUP(Tabela13[[#This Row],[Origem]],Tabela1[],2,FALSE)</f>
        <v>13</v>
      </c>
      <c r="D133" s="42">
        <f>VLOOKUP(Tabela13[[#This Row],[Destino]],Tabela1[],2,FALSE)</f>
        <v>12</v>
      </c>
      <c r="E133" s="51" t="s">
        <v>270</v>
      </c>
      <c r="F133" s="52" t="s">
        <v>783</v>
      </c>
      <c r="H133" s="42" t="str">
        <f t="shared" si="4"/>
        <v>Bairro Moinho Preto_Bairro Mosela</v>
      </c>
      <c r="I133" s="42">
        <f t="shared" si="5"/>
        <v>-1</v>
      </c>
      <c r="J133" s="53">
        <f>COUNTIFS(H$2:H133, H133)-1</f>
        <v>52</v>
      </c>
      <c r="K133" s="42" cm="1">
        <f t="array" ref="K133">IF(I133=1,
    J133,
    MAX(IF(H:H=H133, J:J)) - J133
)</f>
        <v>23</v>
      </c>
    </row>
    <row r="134" spans="1:11" x14ac:dyDescent="0.2">
      <c r="A134" s="43" t="s">
        <v>12</v>
      </c>
      <c r="B134" s="44" t="s">
        <v>11</v>
      </c>
      <c r="C134" s="42">
        <f>VLOOKUP(Tabela13[[#This Row],[Origem]],Tabela1[],2,FALSE)</f>
        <v>13</v>
      </c>
      <c r="D134" s="42">
        <f>VLOOKUP(Tabela13[[#This Row],[Destino]],Tabela1[],2,FALSE)</f>
        <v>12</v>
      </c>
      <c r="E134" s="51" t="s">
        <v>271</v>
      </c>
      <c r="F134" s="52" t="s">
        <v>784</v>
      </c>
      <c r="H134" s="42" t="str">
        <f t="shared" si="4"/>
        <v>Bairro Moinho Preto_Bairro Mosela</v>
      </c>
      <c r="I134" s="42">
        <f t="shared" si="5"/>
        <v>-1</v>
      </c>
      <c r="J134" s="53">
        <f>COUNTIFS(H$2:H134, H134)-1</f>
        <v>53</v>
      </c>
      <c r="K134" s="42" cm="1">
        <f t="array" ref="K134">IF(I134=1,
    J134,
    MAX(IF(H:H=H134, J:J)) - J134
)</f>
        <v>22</v>
      </c>
    </row>
    <row r="135" spans="1:11" x14ac:dyDescent="0.2">
      <c r="A135" s="43" t="s">
        <v>12</v>
      </c>
      <c r="B135" s="44" t="s">
        <v>11</v>
      </c>
      <c r="C135" s="42">
        <f>VLOOKUP(Tabela13[[#This Row],[Origem]],Tabela1[],2,FALSE)</f>
        <v>13</v>
      </c>
      <c r="D135" s="42">
        <f>VLOOKUP(Tabela13[[#This Row],[Destino]],Tabela1[],2,FALSE)</f>
        <v>12</v>
      </c>
      <c r="E135" s="51" t="s">
        <v>272</v>
      </c>
      <c r="F135" s="52" t="s">
        <v>785</v>
      </c>
      <c r="H135" s="42" t="str">
        <f t="shared" si="4"/>
        <v>Bairro Moinho Preto_Bairro Mosela</v>
      </c>
      <c r="I135" s="42">
        <f t="shared" si="5"/>
        <v>-1</v>
      </c>
      <c r="J135" s="53">
        <f>COUNTIFS(H$2:H135, H135)-1</f>
        <v>54</v>
      </c>
      <c r="K135" s="42" cm="1">
        <f t="array" ref="K135">IF(I135=1,
    J135,
    MAX(IF(H:H=H135, J:J)) - J135
)</f>
        <v>21</v>
      </c>
    </row>
    <row r="136" spans="1:11" x14ac:dyDescent="0.2">
      <c r="A136" s="43" t="s">
        <v>12</v>
      </c>
      <c r="B136" s="44" t="s">
        <v>11</v>
      </c>
      <c r="C136" s="42">
        <f>VLOOKUP(Tabela13[[#This Row],[Origem]],Tabela1[],2,FALSE)</f>
        <v>13</v>
      </c>
      <c r="D136" s="42">
        <f>VLOOKUP(Tabela13[[#This Row],[Destino]],Tabela1[],2,FALSE)</f>
        <v>12</v>
      </c>
      <c r="E136" s="51" t="s">
        <v>273</v>
      </c>
      <c r="F136" s="52" t="s">
        <v>786</v>
      </c>
      <c r="H136" s="42" t="str">
        <f t="shared" si="4"/>
        <v>Bairro Moinho Preto_Bairro Mosela</v>
      </c>
      <c r="I136" s="42">
        <f t="shared" si="5"/>
        <v>-1</v>
      </c>
      <c r="J136" s="53">
        <f>COUNTIFS(H$2:H136, H136)-1</f>
        <v>55</v>
      </c>
      <c r="K136" s="42" cm="1">
        <f t="array" ref="K136">IF(I136=1,
    J136,
    MAX(IF(H:H=H136, J:J)) - J136
)</f>
        <v>20</v>
      </c>
    </row>
    <row r="137" spans="1:11" x14ac:dyDescent="0.2">
      <c r="A137" s="43" t="s">
        <v>12</v>
      </c>
      <c r="B137" s="44" t="s">
        <v>11</v>
      </c>
      <c r="C137" s="42">
        <f>VLOOKUP(Tabela13[[#This Row],[Origem]],Tabela1[],2,FALSE)</f>
        <v>13</v>
      </c>
      <c r="D137" s="42">
        <f>VLOOKUP(Tabela13[[#This Row],[Destino]],Tabela1[],2,FALSE)</f>
        <v>12</v>
      </c>
      <c r="E137" s="51" t="s">
        <v>274</v>
      </c>
      <c r="F137" s="52" t="s">
        <v>787</v>
      </c>
      <c r="H137" s="42" t="str">
        <f t="shared" si="4"/>
        <v>Bairro Moinho Preto_Bairro Mosela</v>
      </c>
      <c r="I137" s="42">
        <f t="shared" si="5"/>
        <v>-1</v>
      </c>
      <c r="J137" s="53">
        <f>COUNTIFS(H$2:H137, H137)-1</f>
        <v>56</v>
      </c>
      <c r="K137" s="42" cm="1">
        <f t="array" ref="K137">IF(I137=1,
    J137,
    MAX(IF(H:H=H137, J:J)) - J137
)</f>
        <v>19</v>
      </c>
    </row>
    <row r="138" spans="1:11" x14ac:dyDescent="0.2">
      <c r="A138" s="43" t="s">
        <v>12</v>
      </c>
      <c r="B138" s="44" t="s">
        <v>11</v>
      </c>
      <c r="C138" s="42">
        <f>VLOOKUP(Tabela13[[#This Row],[Origem]],Tabela1[],2,FALSE)</f>
        <v>13</v>
      </c>
      <c r="D138" s="42">
        <f>VLOOKUP(Tabela13[[#This Row],[Destino]],Tabela1[],2,FALSE)</f>
        <v>12</v>
      </c>
      <c r="E138" s="51" t="s">
        <v>275</v>
      </c>
      <c r="F138" s="52" t="s">
        <v>788</v>
      </c>
      <c r="H138" s="42" t="str">
        <f t="shared" si="4"/>
        <v>Bairro Moinho Preto_Bairro Mosela</v>
      </c>
      <c r="I138" s="42">
        <f t="shared" si="5"/>
        <v>-1</v>
      </c>
      <c r="J138" s="53">
        <f>COUNTIFS(H$2:H138, H138)-1</f>
        <v>57</v>
      </c>
      <c r="K138" s="42" cm="1">
        <f t="array" ref="K138">IF(I138=1,
    J138,
    MAX(IF(H:H=H138, J:J)) - J138
)</f>
        <v>18</v>
      </c>
    </row>
    <row r="139" spans="1:11" x14ac:dyDescent="0.2">
      <c r="A139" s="43" t="s">
        <v>12</v>
      </c>
      <c r="B139" s="44" t="s">
        <v>11</v>
      </c>
      <c r="C139" s="42">
        <f>VLOOKUP(Tabela13[[#This Row],[Origem]],Tabela1[],2,FALSE)</f>
        <v>13</v>
      </c>
      <c r="D139" s="42">
        <f>VLOOKUP(Tabela13[[#This Row],[Destino]],Tabela1[],2,FALSE)</f>
        <v>12</v>
      </c>
      <c r="E139" s="51" t="s">
        <v>276</v>
      </c>
      <c r="F139" s="52" t="s">
        <v>789</v>
      </c>
      <c r="H139" s="42" t="str">
        <f t="shared" si="4"/>
        <v>Bairro Moinho Preto_Bairro Mosela</v>
      </c>
      <c r="I139" s="42">
        <f t="shared" si="5"/>
        <v>-1</v>
      </c>
      <c r="J139" s="53">
        <f>COUNTIFS(H$2:H139, H139)-1</f>
        <v>58</v>
      </c>
      <c r="K139" s="42" cm="1">
        <f t="array" ref="K139">IF(I139=1,
    J139,
    MAX(IF(H:H=H139, J:J)) - J139
)</f>
        <v>17</v>
      </c>
    </row>
    <row r="140" spans="1:11" x14ac:dyDescent="0.2">
      <c r="A140" s="43" t="s">
        <v>12</v>
      </c>
      <c r="B140" s="44" t="s">
        <v>11</v>
      </c>
      <c r="C140" s="42">
        <f>VLOOKUP(Tabela13[[#This Row],[Origem]],Tabela1[],2,FALSE)</f>
        <v>13</v>
      </c>
      <c r="D140" s="42">
        <f>VLOOKUP(Tabela13[[#This Row],[Destino]],Tabela1[],2,FALSE)</f>
        <v>12</v>
      </c>
      <c r="E140" s="51" t="s">
        <v>277</v>
      </c>
      <c r="F140" s="52" t="s">
        <v>790</v>
      </c>
      <c r="H140" s="42" t="str">
        <f t="shared" si="4"/>
        <v>Bairro Moinho Preto_Bairro Mosela</v>
      </c>
      <c r="I140" s="42">
        <f t="shared" si="5"/>
        <v>-1</v>
      </c>
      <c r="J140" s="53">
        <f>COUNTIFS(H$2:H140, H140)-1</f>
        <v>59</v>
      </c>
      <c r="K140" s="42" cm="1">
        <f t="array" ref="K140">IF(I140=1,
    J140,
    MAX(IF(H:H=H140, J:J)) - J140
)</f>
        <v>16</v>
      </c>
    </row>
    <row r="141" spans="1:11" x14ac:dyDescent="0.2">
      <c r="A141" s="43" t="s">
        <v>12</v>
      </c>
      <c r="B141" s="44" t="s">
        <v>11</v>
      </c>
      <c r="C141" s="42">
        <f>VLOOKUP(Tabela13[[#This Row],[Origem]],Tabela1[],2,FALSE)</f>
        <v>13</v>
      </c>
      <c r="D141" s="42">
        <f>VLOOKUP(Tabela13[[#This Row],[Destino]],Tabela1[],2,FALSE)</f>
        <v>12</v>
      </c>
      <c r="E141" s="51" t="s">
        <v>278</v>
      </c>
      <c r="F141" s="52" t="s">
        <v>791</v>
      </c>
      <c r="H141" s="42" t="str">
        <f t="shared" si="4"/>
        <v>Bairro Moinho Preto_Bairro Mosela</v>
      </c>
      <c r="I141" s="42">
        <f t="shared" si="5"/>
        <v>-1</v>
      </c>
      <c r="J141" s="53">
        <f>COUNTIFS(H$2:H141, H141)-1</f>
        <v>60</v>
      </c>
      <c r="K141" s="42" cm="1">
        <f t="array" ref="K141">IF(I141=1,
    J141,
    MAX(IF(H:H=H141, J:J)) - J141
)</f>
        <v>15</v>
      </c>
    </row>
    <row r="142" spans="1:11" x14ac:dyDescent="0.2">
      <c r="A142" s="43" t="s">
        <v>12</v>
      </c>
      <c r="B142" s="44" t="s">
        <v>11</v>
      </c>
      <c r="C142" s="42">
        <f>VLOOKUP(Tabela13[[#This Row],[Origem]],Tabela1[],2,FALSE)</f>
        <v>13</v>
      </c>
      <c r="D142" s="42">
        <f>VLOOKUP(Tabela13[[#This Row],[Destino]],Tabela1[],2,FALSE)</f>
        <v>12</v>
      </c>
      <c r="E142" s="51" t="s">
        <v>279</v>
      </c>
      <c r="F142" s="52" t="s">
        <v>792</v>
      </c>
      <c r="H142" s="42" t="str">
        <f t="shared" si="4"/>
        <v>Bairro Moinho Preto_Bairro Mosela</v>
      </c>
      <c r="I142" s="42">
        <f t="shared" si="5"/>
        <v>-1</v>
      </c>
      <c r="J142" s="53">
        <f>COUNTIFS(H$2:H142, H142)-1</f>
        <v>61</v>
      </c>
      <c r="K142" s="42" cm="1">
        <f t="array" ref="K142">IF(I142=1,
    J142,
    MAX(IF(H:H=H142, J:J)) - J142
)</f>
        <v>14</v>
      </c>
    </row>
    <row r="143" spans="1:11" x14ac:dyDescent="0.2">
      <c r="A143" s="43" t="s">
        <v>12</v>
      </c>
      <c r="B143" s="44" t="s">
        <v>11</v>
      </c>
      <c r="C143" s="42">
        <f>VLOOKUP(Tabela13[[#This Row],[Origem]],Tabela1[],2,FALSE)</f>
        <v>13</v>
      </c>
      <c r="D143" s="42">
        <f>VLOOKUP(Tabela13[[#This Row],[Destino]],Tabela1[],2,FALSE)</f>
        <v>12</v>
      </c>
      <c r="E143" s="51" t="s">
        <v>280</v>
      </c>
      <c r="F143" s="52" t="s">
        <v>793</v>
      </c>
      <c r="H143" s="42" t="str">
        <f t="shared" si="4"/>
        <v>Bairro Moinho Preto_Bairro Mosela</v>
      </c>
      <c r="I143" s="42">
        <f t="shared" si="5"/>
        <v>-1</v>
      </c>
      <c r="J143" s="53">
        <f>COUNTIFS(H$2:H143, H143)-1</f>
        <v>62</v>
      </c>
      <c r="K143" s="42" cm="1">
        <f t="array" ref="K143">IF(I143=1,
    J143,
    MAX(IF(H:H=H143, J:J)) - J143
)</f>
        <v>13</v>
      </c>
    </row>
    <row r="144" spans="1:11" x14ac:dyDescent="0.2">
      <c r="A144" s="43" t="s">
        <v>12</v>
      </c>
      <c r="B144" s="44" t="s">
        <v>11</v>
      </c>
      <c r="C144" s="42">
        <f>VLOOKUP(Tabela13[[#This Row],[Origem]],Tabela1[],2,FALSE)</f>
        <v>13</v>
      </c>
      <c r="D144" s="42">
        <f>VLOOKUP(Tabela13[[#This Row],[Destino]],Tabela1[],2,FALSE)</f>
        <v>12</v>
      </c>
      <c r="E144" s="51" t="s">
        <v>281</v>
      </c>
      <c r="F144" s="52" t="s">
        <v>794</v>
      </c>
      <c r="H144" s="42" t="str">
        <f t="shared" si="4"/>
        <v>Bairro Moinho Preto_Bairro Mosela</v>
      </c>
      <c r="I144" s="42">
        <f t="shared" si="5"/>
        <v>-1</v>
      </c>
      <c r="J144" s="53">
        <f>COUNTIFS(H$2:H144, H144)-1</f>
        <v>63</v>
      </c>
      <c r="K144" s="42" cm="1">
        <f t="array" ref="K144">IF(I144=1,
    J144,
    MAX(IF(H:H=H144, J:J)) - J144
)</f>
        <v>12</v>
      </c>
    </row>
    <row r="145" spans="1:11" x14ac:dyDescent="0.2">
      <c r="A145" s="43" t="s">
        <v>12</v>
      </c>
      <c r="B145" s="44" t="s">
        <v>11</v>
      </c>
      <c r="C145" s="42">
        <f>VLOOKUP(Tabela13[[#This Row],[Origem]],Tabela1[],2,FALSE)</f>
        <v>13</v>
      </c>
      <c r="D145" s="42">
        <f>VLOOKUP(Tabela13[[#This Row],[Destino]],Tabela1[],2,FALSE)</f>
        <v>12</v>
      </c>
      <c r="E145" s="51" t="s">
        <v>282</v>
      </c>
      <c r="F145" s="52" t="s">
        <v>795</v>
      </c>
      <c r="H145" s="42" t="str">
        <f t="shared" si="4"/>
        <v>Bairro Moinho Preto_Bairro Mosela</v>
      </c>
      <c r="I145" s="42">
        <f t="shared" si="5"/>
        <v>-1</v>
      </c>
      <c r="J145" s="53">
        <f>COUNTIFS(H$2:H145, H145)-1</f>
        <v>64</v>
      </c>
      <c r="K145" s="42" cm="1">
        <f t="array" ref="K145">IF(I145=1,
    J145,
    MAX(IF(H:H=H145, J:J)) - J145
)</f>
        <v>11</v>
      </c>
    </row>
    <row r="146" spans="1:11" x14ac:dyDescent="0.2">
      <c r="A146" s="43" t="s">
        <v>12</v>
      </c>
      <c r="B146" s="44" t="s">
        <v>11</v>
      </c>
      <c r="C146" s="42">
        <f>VLOOKUP(Tabela13[[#This Row],[Origem]],Tabela1[],2,FALSE)</f>
        <v>13</v>
      </c>
      <c r="D146" s="42">
        <f>VLOOKUP(Tabela13[[#This Row],[Destino]],Tabela1[],2,FALSE)</f>
        <v>12</v>
      </c>
      <c r="E146" s="51" t="s">
        <v>283</v>
      </c>
      <c r="F146" s="52" t="s">
        <v>796</v>
      </c>
      <c r="H146" s="42" t="str">
        <f t="shared" si="4"/>
        <v>Bairro Moinho Preto_Bairro Mosela</v>
      </c>
      <c r="I146" s="42">
        <f t="shared" si="5"/>
        <v>-1</v>
      </c>
      <c r="J146" s="53">
        <f>COUNTIFS(H$2:H146, H146)-1</f>
        <v>65</v>
      </c>
      <c r="K146" s="42" cm="1">
        <f t="array" ref="K146">IF(I146=1,
    J146,
    MAX(IF(H:H=H146, J:J)) - J146
)</f>
        <v>10</v>
      </c>
    </row>
    <row r="147" spans="1:11" x14ac:dyDescent="0.2">
      <c r="A147" s="43" t="s">
        <v>12</v>
      </c>
      <c r="B147" s="44" t="s">
        <v>11</v>
      </c>
      <c r="C147" s="42">
        <f>VLOOKUP(Tabela13[[#This Row],[Origem]],Tabela1[],2,FALSE)</f>
        <v>13</v>
      </c>
      <c r="D147" s="42">
        <f>VLOOKUP(Tabela13[[#This Row],[Destino]],Tabela1[],2,FALSE)</f>
        <v>12</v>
      </c>
      <c r="E147" s="51" t="s">
        <v>284</v>
      </c>
      <c r="F147" s="52" t="s">
        <v>797</v>
      </c>
      <c r="H147" s="42" t="str">
        <f t="shared" si="4"/>
        <v>Bairro Moinho Preto_Bairro Mosela</v>
      </c>
      <c r="I147" s="42">
        <f t="shared" si="5"/>
        <v>-1</v>
      </c>
      <c r="J147" s="53">
        <f>COUNTIFS(H$2:H147, H147)-1</f>
        <v>66</v>
      </c>
      <c r="K147" s="42" cm="1">
        <f t="array" ref="K147">IF(I147=1,
    J147,
    MAX(IF(H:H=H147, J:J)) - J147
)</f>
        <v>9</v>
      </c>
    </row>
    <row r="148" spans="1:11" x14ac:dyDescent="0.2">
      <c r="A148" s="43" t="s">
        <v>12</v>
      </c>
      <c r="B148" s="44" t="s">
        <v>11</v>
      </c>
      <c r="C148" s="42">
        <f>VLOOKUP(Tabela13[[#This Row],[Origem]],Tabela1[],2,FALSE)</f>
        <v>13</v>
      </c>
      <c r="D148" s="42">
        <f>VLOOKUP(Tabela13[[#This Row],[Destino]],Tabela1[],2,FALSE)</f>
        <v>12</v>
      </c>
      <c r="E148" s="51" t="s">
        <v>285</v>
      </c>
      <c r="F148" s="52" t="s">
        <v>798</v>
      </c>
      <c r="H148" s="42" t="str">
        <f t="shared" si="4"/>
        <v>Bairro Moinho Preto_Bairro Mosela</v>
      </c>
      <c r="I148" s="42">
        <f t="shared" si="5"/>
        <v>-1</v>
      </c>
      <c r="J148" s="53">
        <f>COUNTIFS(H$2:H148, H148)-1</f>
        <v>67</v>
      </c>
      <c r="K148" s="42" cm="1">
        <f t="array" ref="K148">IF(I148=1,
    J148,
    MAX(IF(H:H=H148, J:J)) - J148
)</f>
        <v>8</v>
      </c>
    </row>
    <row r="149" spans="1:11" x14ac:dyDescent="0.2">
      <c r="A149" s="43" t="s">
        <v>12</v>
      </c>
      <c r="B149" s="44" t="s">
        <v>11</v>
      </c>
      <c r="C149" s="42">
        <f>VLOOKUP(Tabela13[[#This Row],[Origem]],Tabela1[],2,FALSE)</f>
        <v>13</v>
      </c>
      <c r="D149" s="42">
        <f>VLOOKUP(Tabela13[[#This Row],[Destino]],Tabela1[],2,FALSE)</f>
        <v>12</v>
      </c>
      <c r="E149" s="51" t="s">
        <v>286</v>
      </c>
      <c r="F149" s="52" t="s">
        <v>799</v>
      </c>
      <c r="H149" s="42" t="str">
        <f t="shared" si="4"/>
        <v>Bairro Moinho Preto_Bairro Mosela</v>
      </c>
      <c r="I149" s="42">
        <f t="shared" si="5"/>
        <v>-1</v>
      </c>
      <c r="J149" s="53">
        <f>COUNTIFS(H$2:H149, H149)-1</f>
        <v>68</v>
      </c>
      <c r="K149" s="42" cm="1">
        <f t="array" ref="K149">IF(I149=1,
    J149,
    MAX(IF(H:H=H149, J:J)) - J149
)</f>
        <v>7</v>
      </c>
    </row>
    <row r="150" spans="1:11" x14ac:dyDescent="0.2">
      <c r="A150" s="43" t="s">
        <v>12</v>
      </c>
      <c r="B150" s="44" t="s">
        <v>11</v>
      </c>
      <c r="C150" s="42">
        <f>VLOOKUP(Tabela13[[#This Row],[Origem]],Tabela1[],2,FALSE)</f>
        <v>13</v>
      </c>
      <c r="D150" s="42">
        <f>VLOOKUP(Tabela13[[#This Row],[Destino]],Tabela1[],2,FALSE)</f>
        <v>12</v>
      </c>
      <c r="E150" s="51" t="s">
        <v>287</v>
      </c>
      <c r="F150" s="52" t="s">
        <v>800</v>
      </c>
      <c r="H150" s="42" t="str">
        <f t="shared" si="4"/>
        <v>Bairro Moinho Preto_Bairro Mosela</v>
      </c>
      <c r="I150" s="42">
        <f t="shared" si="5"/>
        <v>-1</v>
      </c>
      <c r="J150" s="53">
        <f>COUNTIFS(H$2:H150, H150)-1</f>
        <v>69</v>
      </c>
      <c r="K150" s="42" cm="1">
        <f t="array" ref="K150">IF(I150=1,
    J150,
    MAX(IF(H:H=H150, J:J)) - J150
)</f>
        <v>6</v>
      </c>
    </row>
    <row r="151" spans="1:11" x14ac:dyDescent="0.2">
      <c r="A151" s="43" t="s">
        <v>12</v>
      </c>
      <c r="B151" s="44" t="s">
        <v>11</v>
      </c>
      <c r="C151" s="42">
        <f>VLOOKUP(Tabela13[[#This Row],[Origem]],Tabela1[],2,FALSE)</f>
        <v>13</v>
      </c>
      <c r="D151" s="42">
        <f>VLOOKUP(Tabela13[[#This Row],[Destino]],Tabela1[],2,FALSE)</f>
        <v>12</v>
      </c>
      <c r="E151" s="51" t="s">
        <v>288</v>
      </c>
      <c r="F151" s="52" t="s">
        <v>801</v>
      </c>
      <c r="H151" s="42" t="str">
        <f t="shared" si="4"/>
        <v>Bairro Moinho Preto_Bairro Mosela</v>
      </c>
      <c r="I151" s="42">
        <f t="shared" si="5"/>
        <v>-1</v>
      </c>
      <c r="J151" s="53">
        <f>COUNTIFS(H$2:H151, H151)-1</f>
        <v>70</v>
      </c>
      <c r="K151" s="42" cm="1">
        <f t="array" ref="K151">IF(I151=1,
    J151,
    MAX(IF(H:H=H151, J:J)) - J151
)</f>
        <v>5</v>
      </c>
    </row>
    <row r="152" spans="1:11" x14ac:dyDescent="0.2">
      <c r="A152" s="43" t="s">
        <v>12</v>
      </c>
      <c r="B152" s="44" t="s">
        <v>11</v>
      </c>
      <c r="C152" s="42">
        <f>VLOOKUP(Tabela13[[#This Row],[Origem]],Tabela1[],2,FALSE)</f>
        <v>13</v>
      </c>
      <c r="D152" s="42">
        <f>VLOOKUP(Tabela13[[#This Row],[Destino]],Tabela1[],2,FALSE)</f>
        <v>12</v>
      </c>
      <c r="E152" s="51" t="s">
        <v>289</v>
      </c>
      <c r="F152" s="52" t="s">
        <v>802</v>
      </c>
      <c r="H152" s="42" t="str">
        <f t="shared" si="4"/>
        <v>Bairro Moinho Preto_Bairro Mosela</v>
      </c>
      <c r="I152" s="42">
        <f t="shared" si="5"/>
        <v>-1</v>
      </c>
      <c r="J152" s="53">
        <f>COUNTIFS(H$2:H152, H152)-1</f>
        <v>71</v>
      </c>
      <c r="K152" s="42" cm="1">
        <f t="array" ref="K152">IF(I152=1,
    J152,
    MAX(IF(H:H=H152, J:J)) - J152
)</f>
        <v>4</v>
      </c>
    </row>
    <row r="153" spans="1:11" x14ac:dyDescent="0.2">
      <c r="A153" s="43" t="s">
        <v>12</v>
      </c>
      <c r="B153" s="44" t="s">
        <v>11</v>
      </c>
      <c r="C153" s="42">
        <f>VLOOKUP(Tabela13[[#This Row],[Origem]],Tabela1[],2,FALSE)</f>
        <v>13</v>
      </c>
      <c r="D153" s="42">
        <f>VLOOKUP(Tabela13[[#This Row],[Destino]],Tabela1[],2,FALSE)</f>
        <v>12</v>
      </c>
      <c r="E153" s="51" t="s">
        <v>290</v>
      </c>
      <c r="F153" s="52" t="s">
        <v>803</v>
      </c>
      <c r="H153" s="42" t="str">
        <f t="shared" si="4"/>
        <v>Bairro Moinho Preto_Bairro Mosela</v>
      </c>
      <c r="I153" s="42">
        <f t="shared" si="5"/>
        <v>-1</v>
      </c>
      <c r="J153" s="53">
        <f>COUNTIFS(H$2:H153, H153)-1</f>
        <v>72</v>
      </c>
      <c r="K153" s="42" cm="1">
        <f t="array" ref="K153">IF(I153=1,
    J153,
    MAX(IF(H:H=H153, J:J)) - J153
)</f>
        <v>3</v>
      </c>
    </row>
    <row r="154" spans="1:11" x14ac:dyDescent="0.2">
      <c r="A154" s="43" t="s">
        <v>12</v>
      </c>
      <c r="B154" s="44" t="s">
        <v>11</v>
      </c>
      <c r="C154" s="42">
        <f>VLOOKUP(Tabela13[[#This Row],[Origem]],Tabela1[],2,FALSE)</f>
        <v>13</v>
      </c>
      <c r="D154" s="42">
        <f>VLOOKUP(Tabela13[[#This Row],[Destino]],Tabela1[],2,FALSE)</f>
        <v>12</v>
      </c>
      <c r="E154" s="51" t="s">
        <v>291</v>
      </c>
      <c r="F154" s="52" t="s">
        <v>804</v>
      </c>
      <c r="H154" s="42" t="str">
        <f t="shared" si="4"/>
        <v>Bairro Moinho Preto_Bairro Mosela</v>
      </c>
      <c r="I154" s="42">
        <f t="shared" si="5"/>
        <v>-1</v>
      </c>
      <c r="J154" s="53">
        <f>COUNTIFS(H$2:H154, H154)-1</f>
        <v>73</v>
      </c>
      <c r="K154" s="42" cm="1">
        <f t="array" ref="K154">IF(I154=1,
    J154,
    MAX(IF(H:H=H154, J:J)) - J154
)</f>
        <v>2</v>
      </c>
    </row>
    <row r="155" spans="1:11" x14ac:dyDescent="0.2">
      <c r="A155" s="43" t="s">
        <v>12</v>
      </c>
      <c r="B155" s="44" t="s">
        <v>11</v>
      </c>
      <c r="C155" s="42">
        <f>VLOOKUP(Tabela13[[#This Row],[Origem]],Tabela1[],2,FALSE)</f>
        <v>13</v>
      </c>
      <c r="D155" s="42">
        <f>VLOOKUP(Tabela13[[#This Row],[Destino]],Tabela1[],2,FALSE)</f>
        <v>12</v>
      </c>
      <c r="E155" s="51" t="s">
        <v>292</v>
      </c>
      <c r="F155" s="52" t="s">
        <v>805</v>
      </c>
      <c r="H155" s="42" t="str">
        <f t="shared" si="4"/>
        <v>Bairro Moinho Preto_Bairro Mosela</v>
      </c>
      <c r="I155" s="42">
        <f t="shared" si="5"/>
        <v>-1</v>
      </c>
      <c r="J155" s="53">
        <f>COUNTIFS(H$2:H155, H155)-1</f>
        <v>74</v>
      </c>
      <c r="K155" s="42" cm="1">
        <f t="array" ref="K155">IF(I155=1,
    J155,
    MAX(IF(H:H=H155, J:J)) - J155
)</f>
        <v>1</v>
      </c>
    </row>
    <row r="156" spans="1:11" x14ac:dyDescent="0.2">
      <c r="A156" s="43" t="s">
        <v>12</v>
      </c>
      <c r="B156" s="44" t="s">
        <v>11</v>
      </c>
      <c r="C156" s="42">
        <f>VLOOKUP(Tabela13[[#This Row],[Origem]],Tabela1[],2,FALSE)</f>
        <v>13</v>
      </c>
      <c r="D156" s="42">
        <f>VLOOKUP(Tabela13[[#This Row],[Destino]],Tabela1[],2,FALSE)</f>
        <v>12</v>
      </c>
      <c r="E156" s="51" t="s">
        <v>293</v>
      </c>
      <c r="F156" s="52" t="s">
        <v>806</v>
      </c>
      <c r="H156" s="42" t="str">
        <f t="shared" si="4"/>
        <v>Bairro Moinho Preto_Bairro Mosela</v>
      </c>
      <c r="I156" s="42">
        <f t="shared" si="5"/>
        <v>-1</v>
      </c>
      <c r="J156" s="53">
        <f>COUNTIFS(H$2:H156, H156)-1</f>
        <v>75</v>
      </c>
      <c r="K156" s="42" cm="1">
        <f t="array" ref="K156">IF(I156=1,
    J156,
    MAX(IF(H:H=H156, J:J)) - J156
)</f>
        <v>0</v>
      </c>
    </row>
    <row r="157" spans="1:11" hidden="1" x14ac:dyDescent="0.2">
      <c r="A157" s="43" t="s">
        <v>12</v>
      </c>
      <c r="B157" s="44" t="s">
        <v>30</v>
      </c>
      <c r="C157" s="42">
        <f>VLOOKUP(Tabela13[[#This Row],[Origem]],Tabela1[],2,FALSE)</f>
        <v>13</v>
      </c>
      <c r="D157" s="42">
        <f>VLOOKUP(Tabela13[[#This Row],[Destino]],Tabela1[],2,FALSE)</f>
        <v>30</v>
      </c>
      <c r="E157" s="51" t="s">
        <v>188</v>
      </c>
      <c r="F157" s="52" t="s">
        <v>189</v>
      </c>
      <c r="H157" s="42" t="str">
        <f t="shared" si="4"/>
        <v>Bairro Mosela_Cruz Vermelha</v>
      </c>
      <c r="I157" s="42">
        <f t="shared" si="5"/>
        <v>1</v>
      </c>
      <c r="J157" s="53">
        <f>COUNTIFS(H$2:H157, H157)-1</f>
        <v>0</v>
      </c>
      <c r="K157" s="42" cm="1">
        <f t="array" ref="K157">IF(I157=1,
    J157,
    MAX(IF(H:H=H157, J:J)) - J157
)</f>
        <v>0</v>
      </c>
    </row>
    <row r="158" spans="1:11" x14ac:dyDescent="0.2">
      <c r="A158" s="43" t="s">
        <v>13</v>
      </c>
      <c r="B158" s="44" t="s">
        <v>42</v>
      </c>
      <c r="C158" s="42">
        <f>VLOOKUP(Tabela13[[#This Row],[Origem]],Tabela1[],2,FALSE)</f>
        <v>14</v>
      </c>
      <c r="D158" s="42">
        <f>VLOOKUP(Tabela13[[#This Row],[Destino]],Tabela1[],2,FALSE)</f>
        <v>42</v>
      </c>
      <c r="E158" s="51" t="s">
        <v>294</v>
      </c>
      <c r="F158" s="52" t="s">
        <v>807</v>
      </c>
      <c r="H158" s="42" t="str">
        <f t="shared" si="4"/>
        <v>Bairro Valparaíso_Instituto Teológico</v>
      </c>
      <c r="I158" s="42">
        <f t="shared" si="5"/>
        <v>1</v>
      </c>
      <c r="J158" s="53">
        <f>COUNTIFS(H$2:H158, H158)-1</f>
        <v>0</v>
      </c>
      <c r="K158" s="42" cm="1">
        <f t="array" ref="K158">IF(I158=1,
    J158,
    MAX(IF(H:H=H158, J:J)) - J158
)</f>
        <v>0</v>
      </c>
    </row>
    <row r="159" spans="1:11" x14ac:dyDescent="0.2">
      <c r="A159" s="43" t="s">
        <v>13</v>
      </c>
      <c r="B159" s="44" t="s">
        <v>72</v>
      </c>
      <c r="C159" s="42">
        <f>VLOOKUP(Tabela13[[#This Row],[Origem]],Tabela1[],2,FALSE)</f>
        <v>14</v>
      </c>
      <c r="D159" s="42">
        <f>VLOOKUP(Tabela13[[#This Row],[Destino]],Tabela1[],2,FALSE)</f>
        <v>72</v>
      </c>
      <c r="E159" s="51" t="s">
        <v>295</v>
      </c>
      <c r="F159" s="52" t="s">
        <v>808</v>
      </c>
      <c r="H159" s="42" t="str">
        <f t="shared" si="4"/>
        <v>Bairro Valparaíso_Restaurante El Sombrero</v>
      </c>
      <c r="I159" s="42">
        <f t="shared" si="5"/>
        <v>1</v>
      </c>
      <c r="J159" s="53">
        <f>COUNTIFS(H$2:H159, H159)-1</f>
        <v>0</v>
      </c>
      <c r="K159" s="42" cm="1">
        <f t="array" ref="K159">IF(I159=1,
    J159,
    MAX(IF(H:H=H159, J:J)) - J159
)</f>
        <v>0</v>
      </c>
    </row>
    <row r="160" spans="1:11" x14ac:dyDescent="0.2">
      <c r="A160" s="43" t="s">
        <v>13</v>
      </c>
      <c r="B160" s="44" t="s">
        <v>72</v>
      </c>
      <c r="C160" s="42">
        <f>VLOOKUP(Tabela13[[#This Row],[Origem]],Tabela1[],2,FALSE)</f>
        <v>14</v>
      </c>
      <c r="D160" s="42">
        <f>VLOOKUP(Tabela13[[#This Row],[Destino]],Tabela1[],2,FALSE)</f>
        <v>72</v>
      </c>
      <c r="E160" s="51" t="s">
        <v>296</v>
      </c>
      <c r="F160" s="52" t="s">
        <v>809</v>
      </c>
      <c r="H160" s="42" t="str">
        <f t="shared" si="4"/>
        <v>Bairro Valparaíso_Restaurante El Sombrero</v>
      </c>
      <c r="I160" s="42">
        <f t="shared" si="5"/>
        <v>1</v>
      </c>
      <c r="J160" s="53">
        <f>COUNTIFS(H$2:H160, H160)-1</f>
        <v>1</v>
      </c>
      <c r="K160" s="42" cm="1">
        <f t="array" ref="K160">IF(I160=1,
    J160,
    MAX(IF(H:H=H160, J:J)) - J160
)</f>
        <v>1</v>
      </c>
    </row>
    <row r="161" spans="1:11" x14ac:dyDescent="0.2">
      <c r="A161" s="43" t="s">
        <v>13</v>
      </c>
      <c r="B161" s="44" t="s">
        <v>72</v>
      </c>
      <c r="C161" s="42">
        <f>VLOOKUP(Tabela13[[#This Row],[Origem]],Tabela1[],2,FALSE)</f>
        <v>14</v>
      </c>
      <c r="D161" s="42">
        <f>VLOOKUP(Tabela13[[#This Row],[Destino]],Tabela1[],2,FALSE)</f>
        <v>72</v>
      </c>
      <c r="E161" s="51" t="s">
        <v>297</v>
      </c>
      <c r="F161" s="52" t="s">
        <v>810</v>
      </c>
      <c r="H161" s="42" t="str">
        <f t="shared" si="4"/>
        <v>Bairro Valparaíso_Restaurante El Sombrero</v>
      </c>
      <c r="I161" s="42">
        <f t="shared" si="5"/>
        <v>1</v>
      </c>
      <c r="J161" s="53">
        <f>COUNTIFS(H$2:H161, H161)-1</f>
        <v>2</v>
      </c>
      <c r="K161" s="42" cm="1">
        <f t="array" ref="K161">IF(I161=1,
    J161,
    MAX(IF(H:H=H161, J:J)) - J161
)</f>
        <v>2</v>
      </c>
    </row>
    <row r="162" spans="1:11" x14ac:dyDescent="0.2">
      <c r="A162" s="43" t="s">
        <v>13</v>
      </c>
      <c r="B162" s="44" t="s">
        <v>82</v>
      </c>
      <c r="C162" s="42">
        <f>VLOOKUP(Tabela13[[#This Row],[Origem]],Tabela1[],2,FALSE)</f>
        <v>14</v>
      </c>
      <c r="D162" s="42">
        <f>VLOOKUP(Tabela13[[#This Row],[Destino]],Tabela1[],2,FALSE)</f>
        <v>82</v>
      </c>
      <c r="E162" s="51" t="s">
        <v>298</v>
      </c>
      <c r="F162" s="52" t="s">
        <v>811</v>
      </c>
      <c r="H162" s="42" t="str">
        <f t="shared" si="4"/>
        <v>Bairro Valparaíso_Rua da Batata Frita</v>
      </c>
      <c r="I162" s="42">
        <f t="shared" si="5"/>
        <v>1</v>
      </c>
      <c r="J162" s="53">
        <f>COUNTIFS(H$2:H162, H162)-1</f>
        <v>0</v>
      </c>
      <c r="K162" s="42" cm="1">
        <f t="array" ref="K162">IF(I162=1,
    J162,
    MAX(IF(H:H=H162, J:J)) - J162
)</f>
        <v>0</v>
      </c>
    </row>
    <row r="163" spans="1:11" x14ac:dyDescent="0.2">
      <c r="A163" s="43" t="s">
        <v>13</v>
      </c>
      <c r="B163" s="44" t="s">
        <v>82</v>
      </c>
      <c r="C163" s="42">
        <f>VLOOKUP(Tabela13[[#This Row],[Origem]],Tabela1[],2,FALSE)</f>
        <v>14</v>
      </c>
      <c r="D163" s="42">
        <f>VLOOKUP(Tabela13[[#This Row],[Destino]],Tabela1[],2,FALSE)</f>
        <v>82</v>
      </c>
      <c r="E163" s="51" t="s">
        <v>299</v>
      </c>
      <c r="F163" s="52" t="s">
        <v>812</v>
      </c>
      <c r="H163" s="42" t="str">
        <f t="shared" si="4"/>
        <v>Bairro Valparaíso_Rua da Batata Frita</v>
      </c>
      <c r="I163" s="42">
        <f t="shared" si="5"/>
        <v>1</v>
      </c>
      <c r="J163" s="53">
        <f>COUNTIFS(H$2:H163, H163)-1</f>
        <v>1</v>
      </c>
      <c r="K163" s="42" cm="1">
        <f t="array" ref="K163">IF(I163=1,
    J163,
    MAX(IF(H:H=H163, J:J)) - J163
)</f>
        <v>1</v>
      </c>
    </row>
    <row r="164" spans="1:11" x14ac:dyDescent="0.2">
      <c r="A164" s="43" t="s">
        <v>13</v>
      </c>
      <c r="B164" s="44" t="s">
        <v>82</v>
      </c>
      <c r="C164" s="42">
        <f>VLOOKUP(Tabela13[[#This Row],[Origem]],Tabela1[],2,FALSE)</f>
        <v>14</v>
      </c>
      <c r="D164" s="42">
        <f>VLOOKUP(Tabela13[[#This Row],[Destino]],Tabela1[],2,FALSE)</f>
        <v>82</v>
      </c>
      <c r="E164" s="51" t="s">
        <v>300</v>
      </c>
      <c r="F164" s="52" t="s">
        <v>813</v>
      </c>
      <c r="H164" s="42" t="str">
        <f t="shared" si="4"/>
        <v>Bairro Valparaíso_Rua da Batata Frita</v>
      </c>
      <c r="I164" s="42">
        <f t="shared" si="5"/>
        <v>1</v>
      </c>
      <c r="J164" s="53">
        <f>COUNTIFS(H$2:H164, H164)-1</f>
        <v>2</v>
      </c>
      <c r="K164" s="42" cm="1">
        <f t="array" ref="K164">IF(I164=1,
    J164,
    MAX(IF(H:H=H164, J:J)) - J164
)</f>
        <v>2</v>
      </c>
    </row>
    <row r="165" spans="1:11" x14ac:dyDescent="0.2">
      <c r="A165" s="43" t="s">
        <v>13</v>
      </c>
      <c r="B165" s="44" t="s">
        <v>82</v>
      </c>
      <c r="C165" s="42">
        <f>VLOOKUP(Tabela13[[#This Row],[Origem]],Tabela1[],2,FALSE)</f>
        <v>14</v>
      </c>
      <c r="D165" s="42">
        <f>VLOOKUP(Tabela13[[#This Row],[Destino]],Tabela1[],2,FALSE)</f>
        <v>82</v>
      </c>
      <c r="E165" s="51" t="s">
        <v>301</v>
      </c>
      <c r="F165" s="52" t="s">
        <v>814</v>
      </c>
      <c r="H165" s="42" t="str">
        <f t="shared" si="4"/>
        <v>Bairro Valparaíso_Rua da Batata Frita</v>
      </c>
      <c r="I165" s="42">
        <f t="shared" si="5"/>
        <v>1</v>
      </c>
      <c r="J165" s="53">
        <f>COUNTIFS(H$2:H165, H165)-1</f>
        <v>3</v>
      </c>
      <c r="K165" s="42" cm="1">
        <f t="array" ref="K165">IF(I165=1,
    J165,
    MAX(IF(H:H=H165, J:J)) - J165
)</f>
        <v>3</v>
      </c>
    </row>
    <row r="166" spans="1:11" x14ac:dyDescent="0.2">
      <c r="A166" s="43" t="s">
        <v>13</v>
      </c>
      <c r="B166" s="44" t="s">
        <v>82</v>
      </c>
      <c r="C166" s="42">
        <f>VLOOKUP(Tabela13[[#This Row],[Origem]],Tabela1[],2,FALSE)</f>
        <v>14</v>
      </c>
      <c r="D166" s="42">
        <f>VLOOKUP(Tabela13[[#This Row],[Destino]],Tabela1[],2,FALSE)</f>
        <v>82</v>
      </c>
      <c r="E166" s="51" t="s">
        <v>302</v>
      </c>
      <c r="F166" s="52" t="s">
        <v>815</v>
      </c>
      <c r="H166" s="42" t="str">
        <f t="shared" si="4"/>
        <v>Bairro Valparaíso_Rua da Batata Frita</v>
      </c>
      <c r="I166" s="42">
        <f t="shared" si="5"/>
        <v>1</v>
      </c>
      <c r="J166" s="53">
        <f>COUNTIFS(H$2:H166, H166)-1</f>
        <v>4</v>
      </c>
      <c r="K166" s="42" cm="1">
        <f t="array" ref="K166">IF(I166=1,
    J166,
    MAX(IF(H:H=H166, J:J)) - J166
)</f>
        <v>4</v>
      </c>
    </row>
    <row r="167" spans="1:11" x14ac:dyDescent="0.2">
      <c r="A167" s="43" t="s">
        <v>13</v>
      </c>
      <c r="B167" s="44" t="s">
        <v>82</v>
      </c>
      <c r="C167" s="42">
        <f>VLOOKUP(Tabela13[[#This Row],[Origem]],Tabela1[],2,FALSE)</f>
        <v>14</v>
      </c>
      <c r="D167" s="42">
        <f>VLOOKUP(Tabela13[[#This Row],[Destino]],Tabela1[],2,FALSE)</f>
        <v>82</v>
      </c>
      <c r="E167" s="51" t="s">
        <v>295</v>
      </c>
      <c r="F167" s="52" t="s">
        <v>816</v>
      </c>
      <c r="H167" s="42" t="str">
        <f t="shared" si="4"/>
        <v>Bairro Valparaíso_Rua da Batata Frita</v>
      </c>
      <c r="I167" s="42">
        <f t="shared" si="5"/>
        <v>1</v>
      </c>
      <c r="J167" s="53">
        <f>COUNTIFS(H$2:H167, H167)-1</f>
        <v>5</v>
      </c>
      <c r="K167" s="42" cm="1">
        <f t="array" ref="K167">IF(I167=1,
    J167,
    MAX(IF(H:H=H167, J:J)) - J167
)</f>
        <v>5</v>
      </c>
    </row>
    <row r="168" spans="1:11" x14ac:dyDescent="0.2">
      <c r="A168" s="43" t="s">
        <v>13</v>
      </c>
      <c r="B168" s="44" t="s">
        <v>82</v>
      </c>
      <c r="C168" s="42">
        <f>VLOOKUP(Tabela13[[#This Row],[Origem]],Tabela1[],2,FALSE)</f>
        <v>14</v>
      </c>
      <c r="D168" s="42">
        <f>VLOOKUP(Tabela13[[#This Row],[Destino]],Tabela1[],2,FALSE)</f>
        <v>82</v>
      </c>
      <c r="E168" s="51" t="s">
        <v>303</v>
      </c>
      <c r="F168" s="52" t="s">
        <v>817</v>
      </c>
      <c r="H168" s="42" t="str">
        <f t="shared" si="4"/>
        <v>Bairro Valparaíso_Rua da Batata Frita</v>
      </c>
      <c r="I168" s="42">
        <f t="shared" si="5"/>
        <v>1</v>
      </c>
      <c r="J168" s="53">
        <f>COUNTIFS(H$2:H168, H168)-1</f>
        <v>6</v>
      </c>
      <c r="K168" s="42" cm="1">
        <f t="array" ref="K168">IF(I168=1,
    J168,
    MAX(IF(H:H=H168, J:J)) - J168
)</f>
        <v>6</v>
      </c>
    </row>
    <row r="169" spans="1:11" x14ac:dyDescent="0.2">
      <c r="A169" s="43" t="s">
        <v>13</v>
      </c>
      <c r="B169" s="44" t="s">
        <v>82</v>
      </c>
      <c r="C169" s="42">
        <f>VLOOKUP(Tabela13[[#This Row],[Origem]],Tabela1[],2,FALSE)</f>
        <v>14</v>
      </c>
      <c r="D169" s="42">
        <f>VLOOKUP(Tabela13[[#This Row],[Destino]],Tabela1[],2,FALSE)</f>
        <v>82</v>
      </c>
      <c r="E169" s="51" t="s">
        <v>304</v>
      </c>
      <c r="F169" s="52" t="s">
        <v>818</v>
      </c>
      <c r="H169" s="42" t="str">
        <f t="shared" si="4"/>
        <v>Bairro Valparaíso_Rua da Batata Frita</v>
      </c>
      <c r="I169" s="42">
        <f t="shared" si="5"/>
        <v>1</v>
      </c>
      <c r="J169" s="53">
        <f>COUNTIFS(H$2:H169, H169)-1</f>
        <v>7</v>
      </c>
      <c r="K169" s="42" cm="1">
        <f t="array" ref="K169">IF(I169=1,
    J169,
    MAX(IF(H:H=H169, J:J)) - J169
)</f>
        <v>7</v>
      </c>
    </row>
    <row r="170" spans="1:11" hidden="1" x14ac:dyDescent="0.2">
      <c r="A170" s="43" t="s">
        <v>14</v>
      </c>
      <c r="B170" s="44" t="s">
        <v>100</v>
      </c>
      <c r="C170" s="42">
        <f>VLOOKUP(Tabela13[[#This Row],[Origem]],Tabela1[],2,FALSE)</f>
        <v>15</v>
      </c>
      <c r="D170" s="42">
        <f>VLOOKUP(Tabela13[[#This Row],[Destino]],Tabela1[],2,FALSE)</f>
        <v>100</v>
      </c>
      <c r="E170" s="51" t="s">
        <v>188</v>
      </c>
      <c r="F170" s="52" t="s">
        <v>189</v>
      </c>
      <c r="H170" s="42" t="str">
        <f t="shared" si="4"/>
        <v>Banca de Jornal_Teatro Dom Pedro</v>
      </c>
      <c r="I170" s="42">
        <f t="shared" si="5"/>
        <v>1</v>
      </c>
      <c r="J170" s="53">
        <f>COUNTIFS(H$2:H170, H170)-1</f>
        <v>0</v>
      </c>
      <c r="K170" s="42" cm="1">
        <f t="array" ref="K170">IF(I170=1,
    J170,
    MAX(IF(H:H=H170, J:J)) - J170
)</f>
        <v>0</v>
      </c>
    </row>
    <row r="171" spans="1:11" x14ac:dyDescent="0.2">
      <c r="A171" s="43" t="s">
        <v>15</v>
      </c>
      <c r="B171" s="44" t="s">
        <v>32</v>
      </c>
      <c r="C171" s="42">
        <f>VLOOKUP(Tabela13[[#This Row],[Origem]],Tabela1[],2,FALSE)</f>
        <v>16</v>
      </c>
      <c r="D171" s="42">
        <f>VLOOKUP(Tabela13[[#This Row],[Destino]],Tabela1[],2,FALSE)</f>
        <v>32</v>
      </c>
      <c r="E171" s="51" t="s">
        <v>305</v>
      </c>
      <c r="F171" s="52" t="s">
        <v>819</v>
      </c>
      <c r="H171" s="42" t="str">
        <f t="shared" si="4"/>
        <v>Bar Bárbaros_FAETERJ</v>
      </c>
      <c r="I171" s="42">
        <f t="shared" si="5"/>
        <v>1</v>
      </c>
      <c r="J171" s="53">
        <f>COUNTIFS(H$2:H171, H171)-1</f>
        <v>0</v>
      </c>
      <c r="K171" s="42" cm="1">
        <f t="array" ref="K171">IF(I171=1,
    J171,
    MAX(IF(H:H=H171, J:J)) - J171
)</f>
        <v>0</v>
      </c>
    </row>
    <row r="172" spans="1:11" x14ac:dyDescent="0.2">
      <c r="A172" s="43" t="s">
        <v>15</v>
      </c>
      <c r="B172" s="44" t="s">
        <v>32</v>
      </c>
      <c r="C172" s="42">
        <f>VLOOKUP(Tabela13[[#This Row],[Origem]],Tabela1[],2,FALSE)</f>
        <v>16</v>
      </c>
      <c r="D172" s="42">
        <f>VLOOKUP(Tabela13[[#This Row],[Destino]],Tabela1[],2,FALSE)</f>
        <v>32</v>
      </c>
      <c r="E172" s="51" t="s">
        <v>306</v>
      </c>
      <c r="F172" s="52" t="s">
        <v>820</v>
      </c>
      <c r="H172" s="42" t="str">
        <f t="shared" si="4"/>
        <v>Bar Bárbaros_FAETERJ</v>
      </c>
      <c r="I172" s="42">
        <f t="shared" si="5"/>
        <v>1</v>
      </c>
      <c r="J172" s="53">
        <f>COUNTIFS(H$2:H172, H172)-1</f>
        <v>1</v>
      </c>
      <c r="K172" s="42" cm="1">
        <f t="array" ref="K172">IF(I172=1,
    J172,
    MAX(IF(H:H=H172, J:J)) - J172
)</f>
        <v>1</v>
      </c>
    </row>
    <row r="173" spans="1:11" x14ac:dyDescent="0.2">
      <c r="A173" s="43" t="s">
        <v>15</v>
      </c>
      <c r="B173" s="44" t="s">
        <v>20</v>
      </c>
      <c r="C173" s="42">
        <f>VLOOKUP(Tabela13[[#This Row],[Origem]],Tabela1[],2,FALSE)</f>
        <v>16</v>
      </c>
      <c r="D173" s="42">
        <f>VLOOKUP(Tabela13[[#This Row],[Destino]],Tabela1[],2,FALSE)</f>
        <v>20</v>
      </c>
      <c r="E173" s="51" t="s">
        <v>307</v>
      </c>
      <c r="F173" s="52" t="s">
        <v>821</v>
      </c>
      <c r="H173" s="42" t="str">
        <f t="shared" si="4"/>
        <v>Bar Bárbaros_BR 040</v>
      </c>
      <c r="I173" s="42">
        <f t="shared" si="5"/>
        <v>1</v>
      </c>
      <c r="J173" s="53">
        <f>COUNTIFS(H$2:H173, H173)-1</f>
        <v>0</v>
      </c>
      <c r="K173" s="42" cm="1">
        <f t="array" ref="K173">IF(I173=1,
    J173,
    MAX(IF(H:H=H173, J:J)) - J173
)</f>
        <v>0</v>
      </c>
    </row>
    <row r="174" spans="1:11" x14ac:dyDescent="0.2">
      <c r="A174" s="43" t="s">
        <v>15</v>
      </c>
      <c r="B174" s="44" t="s">
        <v>43</v>
      </c>
      <c r="C174" s="42">
        <f>VLOOKUP(Tabela13[[#This Row],[Origem]],Tabela1[],2,FALSE)</f>
        <v>16</v>
      </c>
      <c r="D174" s="42">
        <f>VLOOKUP(Tabela13[[#This Row],[Destino]],Tabela1[],2,FALSE)</f>
        <v>43</v>
      </c>
      <c r="E174" s="51" t="s">
        <v>308</v>
      </c>
      <c r="F174" s="52" t="s">
        <v>822</v>
      </c>
      <c r="H174" s="42" t="str">
        <f t="shared" si="4"/>
        <v>Bar Bárbaros_Lago do Quitandinha</v>
      </c>
      <c r="I174" s="42">
        <f t="shared" si="5"/>
        <v>1</v>
      </c>
      <c r="J174" s="53">
        <f>COUNTIFS(H$2:H174, H174)-1</f>
        <v>0</v>
      </c>
      <c r="K174" s="42" cm="1">
        <f t="array" ref="K174">IF(I174=1,
    J174,
    MAX(IF(H:H=H174, J:J)) - J174
)</f>
        <v>0</v>
      </c>
    </row>
    <row r="175" spans="1:11" x14ac:dyDescent="0.2">
      <c r="A175" s="43" t="s">
        <v>15</v>
      </c>
      <c r="B175" s="44" t="s">
        <v>43</v>
      </c>
      <c r="C175" s="42">
        <f>VLOOKUP(Tabela13[[#This Row],[Origem]],Tabela1[],2,FALSE)</f>
        <v>16</v>
      </c>
      <c r="D175" s="42">
        <f>VLOOKUP(Tabela13[[#This Row],[Destino]],Tabela1[],2,FALSE)</f>
        <v>43</v>
      </c>
      <c r="E175" s="51" t="s">
        <v>309</v>
      </c>
      <c r="F175" s="52" t="s">
        <v>823</v>
      </c>
      <c r="H175" s="42" t="str">
        <f t="shared" si="4"/>
        <v>Bar Bárbaros_Lago do Quitandinha</v>
      </c>
      <c r="I175" s="42">
        <f t="shared" si="5"/>
        <v>1</v>
      </c>
      <c r="J175" s="53">
        <f>COUNTIFS(H$2:H175, H175)-1</f>
        <v>1</v>
      </c>
      <c r="K175" s="42" cm="1">
        <f t="array" ref="K175">IF(I175=1,
    J175,
    MAX(IF(H:H=H175, J:J)) - J175
)</f>
        <v>1</v>
      </c>
    </row>
    <row r="176" spans="1:11" x14ac:dyDescent="0.2">
      <c r="A176" s="43" t="s">
        <v>17</v>
      </c>
      <c r="B176" s="44" t="s">
        <v>105</v>
      </c>
      <c r="C176" s="42">
        <f>VLOOKUP(Tabela13[[#This Row],[Origem]],Tabela1[],2,FALSE)</f>
        <v>17</v>
      </c>
      <c r="D176" s="42">
        <f>VLOOKUP(Tabela13[[#This Row],[Destino]],Tabela1[],2,FALSE)</f>
        <v>105</v>
      </c>
      <c r="E176" s="51" t="s">
        <v>310</v>
      </c>
      <c r="F176" s="52" t="s">
        <v>824</v>
      </c>
      <c r="H176" s="42" t="str">
        <f t="shared" si="4"/>
        <v>Batalhão_Vila Militar</v>
      </c>
      <c r="I176" s="42">
        <f t="shared" si="5"/>
        <v>1</v>
      </c>
      <c r="J176" s="53">
        <f>COUNTIFS(H$2:H176, H176)-1</f>
        <v>0</v>
      </c>
      <c r="K176" s="42" cm="1">
        <f t="array" ref="K176">IF(I176=1,
    J176,
    MAX(IF(H:H=H176, J:J)) - J176
)</f>
        <v>0</v>
      </c>
    </row>
    <row r="177" spans="1:11" x14ac:dyDescent="0.2">
      <c r="A177" s="43" t="s">
        <v>17</v>
      </c>
      <c r="B177" s="44" t="s">
        <v>105</v>
      </c>
      <c r="C177" s="42">
        <f>VLOOKUP(Tabela13[[#This Row],[Origem]],Tabela1[],2,FALSE)</f>
        <v>17</v>
      </c>
      <c r="D177" s="42">
        <f>VLOOKUP(Tabela13[[#This Row],[Destino]],Tabela1[],2,FALSE)</f>
        <v>105</v>
      </c>
      <c r="E177" s="51" t="s">
        <v>311</v>
      </c>
      <c r="F177" s="52" t="s">
        <v>825</v>
      </c>
      <c r="H177" s="42" t="str">
        <f t="shared" si="4"/>
        <v>Batalhão_Vila Militar</v>
      </c>
      <c r="I177" s="42">
        <f t="shared" si="5"/>
        <v>1</v>
      </c>
      <c r="J177" s="53">
        <f>COUNTIFS(H$2:H177, H177)-1</f>
        <v>1</v>
      </c>
      <c r="K177" s="42" cm="1">
        <f t="array" ref="K177">IF(I177=1,
    J177,
    MAX(IF(H:H=H177, J:J)) - J177
)</f>
        <v>1</v>
      </c>
    </row>
    <row r="178" spans="1:11" x14ac:dyDescent="0.2">
      <c r="A178" s="43" t="s">
        <v>17</v>
      </c>
      <c r="B178" s="44" t="s">
        <v>105</v>
      </c>
      <c r="C178" s="42">
        <f>VLOOKUP(Tabela13[[#This Row],[Origem]],Tabela1[],2,FALSE)</f>
        <v>17</v>
      </c>
      <c r="D178" s="42">
        <f>VLOOKUP(Tabela13[[#This Row],[Destino]],Tabela1[],2,FALSE)</f>
        <v>105</v>
      </c>
      <c r="E178" s="51" t="s">
        <v>312</v>
      </c>
      <c r="F178" s="52" t="s">
        <v>826</v>
      </c>
      <c r="H178" s="42" t="str">
        <f t="shared" si="4"/>
        <v>Batalhão_Vila Militar</v>
      </c>
      <c r="I178" s="42">
        <f t="shared" si="5"/>
        <v>1</v>
      </c>
      <c r="J178" s="53">
        <f>COUNTIFS(H$2:H178, H178)-1</f>
        <v>2</v>
      </c>
      <c r="K178" s="42" cm="1">
        <f t="array" ref="K178">IF(I178=1,
    J178,
    MAX(IF(H:H=H178, J:J)) - J178
)</f>
        <v>2</v>
      </c>
    </row>
    <row r="179" spans="1:11" x14ac:dyDescent="0.2">
      <c r="A179" s="43" t="s">
        <v>17</v>
      </c>
      <c r="B179" s="44" t="s">
        <v>105</v>
      </c>
      <c r="C179" s="42">
        <f>VLOOKUP(Tabela13[[#This Row],[Origem]],Tabela1[],2,FALSE)</f>
        <v>17</v>
      </c>
      <c r="D179" s="42">
        <f>VLOOKUP(Tabela13[[#This Row],[Destino]],Tabela1[],2,FALSE)</f>
        <v>105</v>
      </c>
      <c r="E179" s="51" t="s">
        <v>313</v>
      </c>
      <c r="F179" s="52" t="s">
        <v>827</v>
      </c>
      <c r="H179" s="42" t="str">
        <f t="shared" si="4"/>
        <v>Batalhão_Vila Militar</v>
      </c>
      <c r="I179" s="42">
        <f t="shared" si="5"/>
        <v>1</v>
      </c>
      <c r="J179" s="53">
        <f>COUNTIFS(H$2:H179, H179)-1</f>
        <v>3</v>
      </c>
      <c r="K179" s="42" cm="1">
        <f t="array" ref="K179">IF(I179=1,
    J179,
    MAX(IF(H:H=H179, J:J)) - J179
)</f>
        <v>3</v>
      </c>
    </row>
    <row r="180" spans="1:11" x14ac:dyDescent="0.2">
      <c r="A180" s="43" t="s">
        <v>17</v>
      </c>
      <c r="B180" s="44" t="s">
        <v>105</v>
      </c>
      <c r="C180" s="42">
        <f>VLOOKUP(Tabela13[[#This Row],[Origem]],Tabela1[],2,FALSE)</f>
        <v>17</v>
      </c>
      <c r="D180" s="42">
        <f>VLOOKUP(Tabela13[[#This Row],[Destino]],Tabela1[],2,FALSE)</f>
        <v>105</v>
      </c>
      <c r="E180" s="51" t="s">
        <v>215</v>
      </c>
      <c r="F180" s="52" t="s">
        <v>828</v>
      </c>
      <c r="H180" s="42" t="str">
        <f t="shared" si="4"/>
        <v>Batalhão_Vila Militar</v>
      </c>
      <c r="I180" s="42">
        <f t="shared" si="5"/>
        <v>1</v>
      </c>
      <c r="J180" s="53">
        <f>COUNTIFS(H$2:H180, H180)-1</f>
        <v>4</v>
      </c>
      <c r="K180" s="42" cm="1">
        <f t="array" ref="K180">IF(I180=1,
    J180,
    MAX(IF(H:H=H180, J:J)) - J180
)</f>
        <v>4</v>
      </c>
    </row>
    <row r="181" spans="1:11" x14ac:dyDescent="0.2">
      <c r="A181" s="43" t="s">
        <v>17</v>
      </c>
      <c r="B181" s="44" t="s">
        <v>105</v>
      </c>
      <c r="C181" s="42">
        <f>VLOOKUP(Tabela13[[#This Row],[Origem]],Tabela1[],2,FALSE)</f>
        <v>17</v>
      </c>
      <c r="D181" s="42">
        <f>VLOOKUP(Tabela13[[#This Row],[Destino]],Tabela1[],2,FALSE)</f>
        <v>105</v>
      </c>
      <c r="E181" s="51" t="s">
        <v>314</v>
      </c>
      <c r="F181" s="52" t="s">
        <v>829</v>
      </c>
      <c r="H181" s="42" t="str">
        <f t="shared" si="4"/>
        <v>Batalhão_Vila Militar</v>
      </c>
      <c r="I181" s="42">
        <f t="shared" si="5"/>
        <v>1</v>
      </c>
      <c r="J181" s="53">
        <f>COUNTIFS(H$2:H181, H181)-1</f>
        <v>5</v>
      </c>
      <c r="K181" s="42" cm="1">
        <f t="array" ref="K181">IF(I181=1,
    J181,
    MAX(IF(H:H=H181, J:J)) - J181
)</f>
        <v>5</v>
      </c>
    </row>
    <row r="182" spans="1:11" x14ac:dyDescent="0.2">
      <c r="A182" s="43" t="s">
        <v>17</v>
      </c>
      <c r="B182" s="44" t="s">
        <v>105</v>
      </c>
      <c r="C182" s="42">
        <f>VLOOKUP(Tabela13[[#This Row],[Origem]],Tabela1[],2,FALSE)</f>
        <v>17</v>
      </c>
      <c r="D182" s="42">
        <f>VLOOKUP(Tabela13[[#This Row],[Destino]],Tabela1[],2,FALSE)</f>
        <v>105</v>
      </c>
      <c r="E182" s="51" t="s">
        <v>315</v>
      </c>
      <c r="F182" s="52" t="s">
        <v>830</v>
      </c>
      <c r="H182" s="42" t="str">
        <f t="shared" si="4"/>
        <v>Batalhão_Vila Militar</v>
      </c>
      <c r="I182" s="42">
        <f t="shared" si="5"/>
        <v>1</v>
      </c>
      <c r="J182" s="53">
        <f>COUNTIFS(H$2:H182, H182)-1</f>
        <v>6</v>
      </c>
      <c r="K182" s="42" cm="1">
        <f t="array" ref="K182">IF(I182=1,
    J182,
    MAX(IF(H:H=H182, J:J)) - J182
)</f>
        <v>6</v>
      </c>
    </row>
    <row r="183" spans="1:11" x14ac:dyDescent="0.2">
      <c r="A183" s="43" t="s">
        <v>17</v>
      </c>
      <c r="B183" s="44" t="s">
        <v>105</v>
      </c>
      <c r="C183" s="42">
        <f>VLOOKUP(Tabela13[[#This Row],[Origem]],Tabela1[],2,FALSE)</f>
        <v>17</v>
      </c>
      <c r="D183" s="42">
        <f>VLOOKUP(Tabela13[[#This Row],[Destino]],Tabela1[],2,FALSE)</f>
        <v>105</v>
      </c>
      <c r="E183" s="51" t="s">
        <v>316</v>
      </c>
      <c r="F183" s="52" t="s">
        <v>831</v>
      </c>
      <c r="H183" s="42" t="str">
        <f t="shared" si="4"/>
        <v>Batalhão_Vila Militar</v>
      </c>
      <c r="I183" s="42">
        <f t="shared" si="5"/>
        <v>1</v>
      </c>
      <c r="J183" s="53">
        <f>COUNTIFS(H$2:H183, H183)-1</f>
        <v>7</v>
      </c>
      <c r="K183" s="42" cm="1">
        <f t="array" ref="K183">IF(I183=1,
    J183,
    MAX(IF(H:H=H183, J:J)) - J183
)</f>
        <v>7</v>
      </c>
    </row>
    <row r="184" spans="1:11" x14ac:dyDescent="0.2">
      <c r="A184" s="43" t="s">
        <v>17</v>
      </c>
      <c r="B184" s="44" t="s">
        <v>105</v>
      </c>
      <c r="C184" s="42">
        <f>VLOOKUP(Tabela13[[#This Row],[Origem]],Tabela1[],2,FALSE)</f>
        <v>17</v>
      </c>
      <c r="D184" s="42">
        <f>VLOOKUP(Tabela13[[#This Row],[Destino]],Tabela1[],2,FALSE)</f>
        <v>105</v>
      </c>
      <c r="E184" s="51" t="s">
        <v>317</v>
      </c>
      <c r="F184" s="52" t="s">
        <v>832</v>
      </c>
      <c r="H184" s="42" t="str">
        <f t="shared" si="4"/>
        <v>Batalhão_Vila Militar</v>
      </c>
      <c r="I184" s="42">
        <f t="shared" si="5"/>
        <v>1</v>
      </c>
      <c r="J184" s="53">
        <f>COUNTIFS(H$2:H184, H184)-1</f>
        <v>8</v>
      </c>
      <c r="K184" s="42" cm="1">
        <f t="array" ref="K184">IF(I184=1,
    J184,
    MAX(IF(H:H=H184, J:J)) - J184
)</f>
        <v>8</v>
      </c>
    </row>
    <row r="185" spans="1:11" x14ac:dyDescent="0.2">
      <c r="A185" s="43" t="s">
        <v>17</v>
      </c>
      <c r="B185" s="44" t="s">
        <v>105</v>
      </c>
      <c r="C185" s="42">
        <f>VLOOKUP(Tabela13[[#This Row],[Origem]],Tabela1[],2,FALSE)</f>
        <v>17</v>
      </c>
      <c r="D185" s="42">
        <f>VLOOKUP(Tabela13[[#This Row],[Destino]],Tabela1[],2,FALSE)</f>
        <v>105</v>
      </c>
      <c r="E185" s="51" t="s">
        <v>318</v>
      </c>
      <c r="F185" s="52" t="s">
        <v>833</v>
      </c>
      <c r="H185" s="42" t="str">
        <f t="shared" si="4"/>
        <v>Batalhão_Vila Militar</v>
      </c>
      <c r="I185" s="42">
        <f t="shared" si="5"/>
        <v>1</v>
      </c>
      <c r="J185" s="53">
        <f>COUNTIFS(H$2:H185, H185)-1</f>
        <v>9</v>
      </c>
      <c r="K185" s="42" cm="1">
        <f t="array" ref="K185">IF(I185=1,
    J185,
    MAX(IF(H:H=H185, J:J)) - J185
)</f>
        <v>9</v>
      </c>
    </row>
    <row r="186" spans="1:11" x14ac:dyDescent="0.2">
      <c r="A186" s="43" t="s">
        <v>17</v>
      </c>
      <c r="B186" s="44" t="s">
        <v>105</v>
      </c>
      <c r="C186" s="42">
        <f>VLOOKUP(Tabela13[[#This Row],[Origem]],Tabela1[],2,FALSE)</f>
        <v>17</v>
      </c>
      <c r="D186" s="42">
        <f>VLOOKUP(Tabela13[[#This Row],[Destino]],Tabela1[],2,FALSE)</f>
        <v>105</v>
      </c>
      <c r="E186" s="51" t="s">
        <v>319</v>
      </c>
      <c r="F186" s="52" t="s">
        <v>834</v>
      </c>
      <c r="H186" s="42" t="str">
        <f t="shared" si="4"/>
        <v>Batalhão_Vila Militar</v>
      </c>
      <c r="I186" s="42">
        <f t="shared" si="5"/>
        <v>1</v>
      </c>
      <c r="J186" s="53">
        <f>COUNTIFS(H$2:H186, H186)-1</f>
        <v>10</v>
      </c>
      <c r="K186" s="42" cm="1">
        <f t="array" ref="K186">IF(I186=1,
    J186,
    MAX(IF(H:H=H186, J:J)) - J186
)</f>
        <v>10</v>
      </c>
    </row>
    <row r="187" spans="1:11" x14ac:dyDescent="0.2">
      <c r="A187" s="43" t="s">
        <v>17</v>
      </c>
      <c r="B187" s="44" t="s">
        <v>105</v>
      </c>
      <c r="C187" s="42">
        <f>VLOOKUP(Tabela13[[#This Row],[Origem]],Tabela1[],2,FALSE)</f>
        <v>17</v>
      </c>
      <c r="D187" s="42">
        <f>VLOOKUP(Tabela13[[#This Row],[Destino]],Tabela1[],2,FALSE)</f>
        <v>105</v>
      </c>
      <c r="E187" s="51" t="s">
        <v>320</v>
      </c>
      <c r="F187" s="52" t="s">
        <v>803</v>
      </c>
      <c r="H187" s="42" t="str">
        <f t="shared" si="4"/>
        <v>Batalhão_Vila Militar</v>
      </c>
      <c r="I187" s="42">
        <f t="shared" si="5"/>
        <v>1</v>
      </c>
      <c r="J187" s="53">
        <f>COUNTIFS(H$2:H187, H187)-1</f>
        <v>11</v>
      </c>
      <c r="K187" s="42" cm="1">
        <f t="array" ref="K187">IF(I187=1,
    J187,
    MAX(IF(H:H=H187, J:J)) - J187
)</f>
        <v>11</v>
      </c>
    </row>
    <row r="188" spans="1:11" x14ac:dyDescent="0.2">
      <c r="A188" s="43" t="s">
        <v>17</v>
      </c>
      <c r="B188" s="44" t="s">
        <v>105</v>
      </c>
      <c r="C188" s="42">
        <f>VLOOKUP(Tabela13[[#This Row],[Origem]],Tabela1[],2,FALSE)</f>
        <v>17</v>
      </c>
      <c r="D188" s="42">
        <f>VLOOKUP(Tabela13[[#This Row],[Destino]],Tabela1[],2,FALSE)</f>
        <v>105</v>
      </c>
      <c r="E188" s="51" t="s">
        <v>321</v>
      </c>
      <c r="F188" s="52" t="s">
        <v>835</v>
      </c>
      <c r="H188" s="42" t="str">
        <f t="shared" si="4"/>
        <v>Batalhão_Vila Militar</v>
      </c>
      <c r="I188" s="42">
        <f t="shared" si="5"/>
        <v>1</v>
      </c>
      <c r="J188" s="53">
        <f>COUNTIFS(H$2:H188, H188)-1</f>
        <v>12</v>
      </c>
      <c r="K188" s="42" cm="1">
        <f t="array" ref="K188">IF(I188=1,
    J188,
    MAX(IF(H:H=H188, J:J)) - J188
)</f>
        <v>12</v>
      </c>
    </row>
    <row r="189" spans="1:11" x14ac:dyDescent="0.2">
      <c r="A189" s="43" t="s">
        <v>17</v>
      </c>
      <c r="B189" s="44" t="s">
        <v>105</v>
      </c>
      <c r="C189" s="42">
        <f>VLOOKUP(Tabela13[[#This Row],[Origem]],Tabela1[],2,FALSE)</f>
        <v>17</v>
      </c>
      <c r="D189" s="42">
        <f>VLOOKUP(Tabela13[[#This Row],[Destino]],Tabela1[],2,FALSE)</f>
        <v>105</v>
      </c>
      <c r="E189" s="51" t="s">
        <v>322</v>
      </c>
      <c r="F189" s="52" t="s">
        <v>836</v>
      </c>
      <c r="H189" s="42" t="str">
        <f t="shared" si="4"/>
        <v>Batalhão_Vila Militar</v>
      </c>
      <c r="I189" s="42">
        <f t="shared" si="5"/>
        <v>1</v>
      </c>
      <c r="J189" s="53">
        <f>COUNTIFS(H$2:H189, H189)-1</f>
        <v>13</v>
      </c>
      <c r="K189" s="42" cm="1">
        <f t="array" ref="K189">IF(I189=1,
    J189,
    MAX(IF(H:H=H189, J:J)) - J189
)</f>
        <v>13</v>
      </c>
    </row>
    <row r="190" spans="1:11" x14ac:dyDescent="0.2">
      <c r="A190" s="43" t="s">
        <v>17</v>
      </c>
      <c r="B190" s="44" t="s">
        <v>105</v>
      </c>
      <c r="C190" s="42">
        <f>VLOOKUP(Tabela13[[#This Row],[Origem]],Tabela1[],2,FALSE)</f>
        <v>17</v>
      </c>
      <c r="D190" s="42">
        <f>VLOOKUP(Tabela13[[#This Row],[Destino]],Tabela1[],2,FALSE)</f>
        <v>105</v>
      </c>
      <c r="E190" s="51" t="s">
        <v>323</v>
      </c>
      <c r="F190" s="52" t="s">
        <v>837</v>
      </c>
      <c r="H190" s="42" t="str">
        <f t="shared" si="4"/>
        <v>Batalhão_Vila Militar</v>
      </c>
      <c r="I190" s="42">
        <f t="shared" si="5"/>
        <v>1</v>
      </c>
      <c r="J190" s="53">
        <f>COUNTIFS(H$2:H190, H190)-1</f>
        <v>14</v>
      </c>
      <c r="K190" s="42" cm="1">
        <f t="array" ref="K190">IF(I190=1,
    J190,
    MAX(IF(H:H=H190, J:J)) - J190
)</f>
        <v>14</v>
      </c>
    </row>
    <row r="191" spans="1:11" x14ac:dyDescent="0.2">
      <c r="A191" s="43" t="s">
        <v>17</v>
      </c>
      <c r="B191" s="44" t="s">
        <v>105</v>
      </c>
      <c r="C191" s="42">
        <f>VLOOKUP(Tabela13[[#This Row],[Origem]],Tabela1[],2,FALSE)</f>
        <v>17</v>
      </c>
      <c r="D191" s="42">
        <f>VLOOKUP(Tabela13[[#This Row],[Destino]],Tabela1[],2,FALSE)</f>
        <v>105</v>
      </c>
      <c r="E191" s="51" t="s">
        <v>324</v>
      </c>
      <c r="F191" s="52" t="s">
        <v>838</v>
      </c>
      <c r="H191" s="42" t="str">
        <f t="shared" si="4"/>
        <v>Batalhão_Vila Militar</v>
      </c>
      <c r="I191" s="42">
        <f t="shared" si="5"/>
        <v>1</v>
      </c>
      <c r="J191" s="53">
        <f>COUNTIFS(H$2:H191, H191)-1</f>
        <v>15</v>
      </c>
      <c r="K191" s="42" cm="1">
        <f t="array" ref="K191">IF(I191=1,
    J191,
    MAX(IF(H:H=H191, J:J)) - J191
)</f>
        <v>15</v>
      </c>
    </row>
    <row r="192" spans="1:11" x14ac:dyDescent="0.2">
      <c r="A192" s="43" t="s">
        <v>17</v>
      </c>
      <c r="B192" s="44" t="s">
        <v>105</v>
      </c>
      <c r="C192" s="42">
        <f>VLOOKUP(Tabela13[[#This Row],[Origem]],Tabela1[],2,FALSE)</f>
        <v>17</v>
      </c>
      <c r="D192" s="42">
        <f>VLOOKUP(Tabela13[[#This Row],[Destino]],Tabela1[],2,FALSE)</f>
        <v>105</v>
      </c>
      <c r="E192" s="51" t="s">
        <v>325</v>
      </c>
      <c r="F192" s="52" t="s">
        <v>839</v>
      </c>
      <c r="H192" s="42" t="str">
        <f t="shared" si="4"/>
        <v>Batalhão_Vila Militar</v>
      </c>
      <c r="I192" s="42">
        <f t="shared" si="5"/>
        <v>1</v>
      </c>
      <c r="J192" s="53">
        <f>COUNTIFS(H$2:H192, H192)-1</f>
        <v>16</v>
      </c>
      <c r="K192" s="42" cm="1">
        <f t="array" ref="K192">IF(I192=1,
    J192,
    MAX(IF(H:H=H192, J:J)) - J192
)</f>
        <v>16</v>
      </c>
    </row>
    <row r="193" spans="1:11" x14ac:dyDescent="0.2">
      <c r="A193" s="43" t="s">
        <v>17</v>
      </c>
      <c r="B193" s="44" t="s">
        <v>105</v>
      </c>
      <c r="C193" s="42">
        <f>VLOOKUP(Tabela13[[#This Row],[Origem]],Tabela1[],2,FALSE)</f>
        <v>17</v>
      </c>
      <c r="D193" s="42">
        <f>VLOOKUP(Tabela13[[#This Row],[Destino]],Tabela1[],2,FALSE)</f>
        <v>105</v>
      </c>
      <c r="E193" s="51" t="s">
        <v>326</v>
      </c>
      <c r="F193" s="52" t="s">
        <v>840</v>
      </c>
      <c r="H193" s="42" t="str">
        <f t="shared" si="4"/>
        <v>Batalhão_Vila Militar</v>
      </c>
      <c r="I193" s="42">
        <f t="shared" si="5"/>
        <v>1</v>
      </c>
      <c r="J193" s="53">
        <f>COUNTIFS(H$2:H193, H193)-1</f>
        <v>17</v>
      </c>
      <c r="K193" s="42" cm="1">
        <f t="array" ref="K193">IF(I193=1,
    J193,
    MAX(IF(H:H=H193, J:J)) - J193
)</f>
        <v>17</v>
      </c>
    </row>
    <row r="194" spans="1:11" x14ac:dyDescent="0.2">
      <c r="A194" s="43" t="s">
        <v>17</v>
      </c>
      <c r="B194" s="44" t="s">
        <v>105</v>
      </c>
      <c r="C194" s="42">
        <f>VLOOKUP(Tabela13[[#This Row],[Origem]],Tabela1[],2,FALSE)</f>
        <v>17</v>
      </c>
      <c r="D194" s="42">
        <f>VLOOKUP(Tabela13[[#This Row],[Destino]],Tabela1[],2,FALSE)</f>
        <v>105</v>
      </c>
      <c r="E194" s="51" t="s">
        <v>327</v>
      </c>
      <c r="F194" s="52" t="s">
        <v>841</v>
      </c>
      <c r="H194" s="42" t="str">
        <f t="shared" ref="H194:H257" si="6">IF(A194&lt;B194, A194&amp;"_"&amp;B194, B194&amp;"_"&amp;A194)</f>
        <v>Batalhão_Vila Militar</v>
      </c>
      <c r="I194" s="42">
        <f t="shared" ref="I194:I257" si="7">IF(A194&lt;B194, 1, -1)</f>
        <v>1</v>
      </c>
      <c r="J194" s="53">
        <f>COUNTIFS(H$2:H194, H194)-1</f>
        <v>18</v>
      </c>
      <c r="K194" s="42" cm="1">
        <f t="array" ref="K194">IF(I194=1,
    J194,
    MAX(IF(H:H=H194, J:J)) - J194
)</f>
        <v>18</v>
      </c>
    </row>
    <row r="195" spans="1:11" x14ac:dyDescent="0.2">
      <c r="A195" s="43" t="s">
        <v>17</v>
      </c>
      <c r="B195" s="44" t="s">
        <v>105</v>
      </c>
      <c r="C195" s="42">
        <f>VLOOKUP(Tabela13[[#This Row],[Origem]],Tabela1[],2,FALSE)</f>
        <v>17</v>
      </c>
      <c r="D195" s="42">
        <f>VLOOKUP(Tabela13[[#This Row],[Destino]],Tabela1[],2,FALSE)</f>
        <v>105</v>
      </c>
      <c r="E195" s="51" t="s">
        <v>328</v>
      </c>
      <c r="F195" s="52" t="s">
        <v>842</v>
      </c>
      <c r="H195" s="42" t="str">
        <f t="shared" si="6"/>
        <v>Batalhão_Vila Militar</v>
      </c>
      <c r="I195" s="42">
        <f t="shared" si="7"/>
        <v>1</v>
      </c>
      <c r="J195" s="53">
        <f>COUNTIFS(H$2:H195, H195)-1</f>
        <v>19</v>
      </c>
      <c r="K195" s="42" cm="1">
        <f t="array" ref="K195">IF(I195=1,
    J195,
    MAX(IF(H:H=H195, J:J)) - J195
)</f>
        <v>19</v>
      </c>
    </row>
    <row r="196" spans="1:11" x14ac:dyDescent="0.2">
      <c r="A196" s="43" t="s">
        <v>17</v>
      </c>
      <c r="B196" s="44" t="s">
        <v>105</v>
      </c>
      <c r="C196" s="42">
        <f>VLOOKUP(Tabela13[[#This Row],[Origem]],Tabela1[],2,FALSE)</f>
        <v>17</v>
      </c>
      <c r="D196" s="42">
        <f>VLOOKUP(Tabela13[[#This Row],[Destino]],Tabela1[],2,FALSE)</f>
        <v>105</v>
      </c>
      <c r="E196" s="51" t="s">
        <v>329</v>
      </c>
      <c r="F196" s="52" t="s">
        <v>843</v>
      </c>
      <c r="H196" s="42" t="str">
        <f t="shared" si="6"/>
        <v>Batalhão_Vila Militar</v>
      </c>
      <c r="I196" s="42">
        <f t="shared" si="7"/>
        <v>1</v>
      </c>
      <c r="J196" s="53">
        <f>COUNTIFS(H$2:H196, H196)-1</f>
        <v>20</v>
      </c>
      <c r="K196" s="42" cm="1">
        <f t="array" ref="K196">IF(I196=1,
    J196,
    MAX(IF(H:H=H196, J:J)) - J196
)</f>
        <v>20</v>
      </c>
    </row>
    <row r="197" spans="1:11" x14ac:dyDescent="0.2">
      <c r="A197" s="43" t="s">
        <v>17</v>
      </c>
      <c r="B197" s="44" t="s">
        <v>88</v>
      </c>
      <c r="C197" s="42">
        <f>VLOOKUP(Tabela13[[#This Row],[Origem]],Tabela1[],2,FALSE)</f>
        <v>17</v>
      </c>
      <c r="D197" s="42">
        <f>VLOOKUP(Tabela13[[#This Row],[Destino]],Tabela1[],2,FALSE)</f>
        <v>88</v>
      </c>
      <c r="E197" s="51" t="s">
        <v>330</v>
      </c>
      <c r="F197" s="52" t="s">
        <v>844</v>
      </c>
      <c r="H197" s="42" t="str">
        <f t="shared" si="6"/>
        <v>Batalhão_Rua Gonçalves Dias</v>
      </c>
      <c r="I197" s="42">
        <f t="shared" si="7"/>
        <v>1</v>
      </c>
      <c r="J197" s="53">
        <f>COUNTIFS(H$2:H197, H197)-1</f>
        <v>0</v>
      </c>
      <c r="K197" s="42" cm="1">
        <f t="array" ref="K197">IF(I197=1,
    J197,
    MAX(IF(H:H=H197, J:J)) - J197
)</f>
        <v>0</v>
      </c>
    </row>
    <row r="198" spans="1:11" x14ac:dyDescent="0.2">
      <c r="A198" s="43" t="s">
        <v>17</v>
      </c>
      <c r="B198" s="44" t="s">
        <v>88</v>
      </c>
      <c r="C198" s="42">
        <f>VLOOKUP(Tabela13[[#This Row],[Origem]],Tabela1[],2,FALSE)</f>
        <v>17</v>
      </c>
      <c r="D198" s="42">
        <f>VLOOKUP(Tabela13[[#This Row],[Destino]],Tabela1[],2,FALSE)</f>
        <v>88</v>
      </c>
      <c r="E198" s="51" t="s">
        <v>331</v>
      </c>
      <c r="F198" s="52" t="s">
        <v>845</v>
      </c>
      <c r="H198" s="42" t="str">
        <f t="shared" si="6"/>
        <v>Batalhão_Rua Gonçalves Dias</v>
      </c>
      <c r="I198" s="42">
        <f t="shared" si="7"/>
        <v>1</v>
      </c>
      <c r="J198" s="53">
        <f>COUNTIFS(H$2:H198, H198)-1</f>
        <v>1</v>
      </c>
      <c r="K198" s="42" cm="1">
        <f t="array" ref="K198">IF(I198=1,
    J198,
    MAX(IF(H:H=H198, J:J)) - J198
)</f>
        <v>1</v>
      </c>
    </row>
    <row r="199" spans="1:11" x14ac:dyDescent="0.2">
      <c r="A199" s="43" t="s">
        <v>17</v>
      </c>
      <c r="B199" s="44" t="s">
        <v>88</v>
      </c>
      <c r="C199" s="42">
        <f>VLOOKUP(Tabela13[[#This Row],[Origem]],Tabela1[],2,FALSE)</f>
        <v>17</v>
      </c>
      <c r="D199" s="42">
        <f>VLOOKUP(Tabela13[[#This Row],[Destino]],Tabela1[],2,FALSE)</f>
        <v>88</v>
      </c>
      <c r="E199" s="51" t="s">
        <v>332</v>
      </c>
      <c r="F199" s="52" t="s">
        <v>846</v>
      </c>
      <c r="H199" s="42" t="str">
        <f t="shared" si="6"/>
        <v>Batalhão_Rua Gonçalves Dias</v>
      </c>
      <c r="I199" s="42">
        <f t="shared" si="7"/>
        <v>1</v>
      </c>
      <c r="J199" s="53">
        <f>COUNTIFS(H$2:H199, H199)-1</f>
        <v>2</v>
      </c>
      <c r="K199" s="42" cm="1">
        <f t="array" ref="K199">IF(I199=1,
    J199,
    MAX(IF(H:H=H199, J:J)) - J199
)</f>
        <v>2</v>
      </c>
    </row>
    <row r="200" spans="1:11" x14ac:dyDescent="0.2">
      <c r="A200" s="43" t="s">
        <v>17</v>
      </c>
      <c r="B200" s="44" t="s">
        <v>88</v>
      </c>
      <c r="C200" s="42">
        <f>VLOOKUP(Tabela13[[#This Row],[Origem]],Tabela1[],2,FALSE)</f>
        <v>17</v>
      </c>
      <c r="D200" s="42">
        <f>VLOOKUP(Tabela13[[#This Row],[Destino]],Tabela1[],2,FALSE)</f>
        <v>88</v>
      </c>
      <c r="E200" s="51" t="s">
        <v>333</v>
      </c>
      <c r="F200" s="52" t="s">
        <v>847</v>
      </c>
      <c r="H200" s="42" t="str">
        <f t="shared" si="6"/>
        <v>Batalhão_Rua Gonçalves Dias</v>
      </c>
      <c r="I200" s="42">
        <f t="shared" si="7"/>
        <v>1</v>
      </c>
      <c r="J200" s="53">
        <f>COUNTIFS(H$2:H200, H200)-1</f>
        <v>3</v>
      </c>
      <c r="K200" s="42" cm="1">
        <f t="array" ref="K200">IF(I200=1,
    J200,
    MAX(IF(H:H=H200, J:J)) - J200
)</f>
        <v>3</v>
      </c>
    </row>
    <row r="201" spans="1:11" x14ac:dyDescent="0.2">
      <c r="A201" s="43" t="s">
        <v>17</v>
      </c>
      <c r="B201" s="44" t="s">
        <v>88</v>
      </c>
      <c r="C201" s="42">
        <f>VLOOKUP(Tabela13[[#This Row],[Origem]],Tabela1[],2,FALSE)</f>
        <v>17</v>
      </c>
      <c r="D201" s="42">
        <f>VLOOKUP(Tabela13[[#This Row],[Destino]],Tabela1[],2,FALSE)</f>
        <v>88</v>
      </c>
      <c r="E201" s="51" t="s">
        <v>334</v>
      </c>
      <c r="F201" s="52" t="s">
        <v>848</v>
      </c>
      <c r="H201" s="42" t="str">
        <f t="shared" si="6"/>
        <v>Batalhão_Rua Gonçalves Dias</v>
      </c>
      <c r="I201" s="42">
        <f t="shared" si="7"/>
        <v>1</v>
      </c>
      <c r="J201" s="53">
        <f>COUNTIFS(H$2:H201, H201)-1</f>
        <v>4</v>
      </c>
      <c r="K201" s="42" cm="1">
        <f t="array" ref="K201">IF(I201=1,
    J201,
    MAX(IF(H:H=H201, J:J)) - J201
)</f>
        <v>4</v>
      </c>
    </row>
    <row r="202" spans="1:11" x14ac:dyDescent="0.2">
      <c r="A202" s="43" t="s">
        <v>17</v>
      </c>
      <c r="B202" s="44" t="s">
        <v>88</v>
      </c>
      <c r="C202" s="42">
        <f>VLOOKUP(Tabela13[[#This Row],[Origem]],Tabela1[],2,FALSE)</f>
        <v>17</v>
      </c>
      <c r="D202" s="42">
        <f>VLOOKUP(Tabela13[[#This Row],[Destino]],Tabela1[],2,FALSE)</f>
        <v>88</v>
      </c>
      <c r="E202" s="51" t="s">
        <v>335</v>
      </c>
      <c r="F202" s="52" t="s">
        <v>849</v>
      </c>
      <c r="H202" s="42" t="str">
        <f t="shared" si="6"/>
        <v>Batalhão_Rua Gonçalves Dias</v>
      </c>
      <c r="I202" s="42">
        <f t="shared" si="7"/>
        <v>1</v>
      </c>
      <c r="J202" s="53">
        <f>COUNTIFS(H$2:H202, H202)-1</f>
        <v>5</v>
      </c>
      <c r="K202" s="42" cm="1">
        <f t="array" ref="K202">IF(I202=1,
    J202,
    MAX(IF(H:H=H202, J:J)) - J202
)</f>
        <v>5</v>
      </c>
    </row>
    <row r="203" spans="1:11" x14ac:dyDescent="0.2">
      <c r="A203" s="43" t="s">
        <v>17</v>
      </c>
      <c r="B203" s="44" t="s">
        <v>88</v>
      </c>
      <c r="C203" s="42">
        <f>VLOOKUP(Tabela13[[#This Row],[Origem]],Tabela1[],2,FALSE)</f>
        <v>17</v>
      </c>
      <c r="D203" s="42">
        <f>VLOOKUP(Tabela13[[#This Row],[Destino]],Tabela1[],2,FALSE)</f>
        <v>88</v>
      </c>
      <c r="E203" s="51" t="s">
        <v>336</v>
      </c>
      <c r="F203" s="52" t="s">
        <v>850</v>
      </c>
      <c r="H203" s="42" t="str">
        <f t="shared" si="6"/>
        <v>Batalhão_Rua Gonçalves Dias</v>
      </c>
      <c r="I203" s="42">
        <f t="shared" si="7"/>
        <v>1</v>
      </c>
      <c r="J203" s="53">
        <f>COUNTIFS(H$2:H203, H203)-1</f>
        <v>6</v>
      </c>
      <c r="K203" s="42" cm="1">
        <f t="array" ref="K203">IF(I203=1,
    J203,
    MAX(IF(H:H=H203, J:J)) - J203
)</f>
        <v>6</v>
      </c>
    </row>
    <row r="204" spans="1:11" x14ac:dyDescent="0.2">
      <c r="A204" s="43" t="s">
        <v>17</v>
      </c>
      <c r="B204" s="44" t="s">
        <v>88</v>
      </c>
      <c r="C204" s="42">
        <f>VLOOKUP(Tabela13[[#This Row],[Origem]],Tabela1[],2,FALSE)</f>
        <v>17</v>
      </c>
      <c r="D204" s="42">
        <f>VLOOKUP(Tabela13[[#This Row],[Destino]],Tabela1[],2,FALSE)</f>
        <v>88</v>
      </c>
      <c r="E204" s="51" t="s">
        <v>337</v>
      </c>
      <c r="F204" s="52" t="s">
        <v>851</v>
      </c>
      <c r="H204" s="42" t="str">
        <f t="shared" si="6"/>
        <v>Batalhão_Rua Gonçalves Dias</v>
      </c>
      <c r="I204" s="42">
        <f t="shared" si="7"/>
        <v>1</v>
      </c>
      <c r="J204" s="53">
        <f>COUNTIFS(H$2:H204, H204)-1</f>
        <v>7</v>
      </c>
      <c r="K204" s="42" cm="1">
        <f t="array" ref="K204">IF(I204=1,
    J204,
    MAX(IF(H:H=H204, J:J)) - J204
)</f>
        <v>7</v>
      </c>
    </row>
    <row r="205" spans="1:11" x14ac:dyDescent="0.2">
      <c r="A205" s="43" t="s">
        <v>17</v>
      </c>
      <c r="B205" s="44" t="s">
        <v>88</v>
      </c>
      <c r="C205" s="42">
        <f>VLOOKUP(Tabela13[[#This Row],[Origem]],Tabela1[],2,FALSE)</f>
        <v>17</v>
      </c>
      <c r="D205" s="42">
        <f>VLOOKUP(Tabela13[[#This Row],[Destino]],Tabela1[],2,FALSE)</f>
        <v>88</v>
      </c>
      <c r="E205" s="51" t="s">
        <v>338</v>
      </c>
      <c r="F205" s="52" t="s">
        <v>852</v>
      </c>
      <c r="H205" s="42" t="str">
        <f t="shared" si="6"/>
        <v>Batalhão_Rua Gonçalves Dias</v>
      </c>
      <c r="I205" s="42">
        <f t="shared" si="7"/>
        <v>1</v>
      </c>
      <c r="J205" s="53">
        <f>COUNTIFS(H$2:H205, H205)-1</f>
        <v>8</v>
      </c>
      <c r="K205" s="42" cm="1">
        <f t="array" ref="K205">IF(I205=1,
    J205,
    MAX(IF(H:H=H205, J:J)) - J205
)</f>
        <v>8</v>
      </c>
    </row>
    <row r="206" spans="1:11" x14ac:dyDescent="0.2">
      <c r="A206" s="43" t="s">
        <v>17</v>
      </c>
      <c r="B206" s="44" t="s">
        <v>88</v>
      </c>
      <c r="C206" s="42">
        <f>VLOOKUP(Tabela13[[#This Row],[Origem]],Tabela1[],2,FALSE)</f>
        <v>17</v>
      </c>
      <c r="D206" s="42">
        <f>VLOOKUP(Tabela13[[#This Row],[Destino]],Tabela1[],2,FALSE)</f>
        <v>88</v>
      </c>
      <c r="E206" s="51" t="s">
        <v>339</v>
      </c>
      <c r="F206" s="52" t="s">
        <v>853</v>
      </c>
      <c r="H206" s="42" t="str">
        <f t="shared" si="6"/>
        <v>Batalhão_Rua Gonçalves Dias</v>
      </c>
      <c r="I206" s="42">
        <f t="shared" si="7"/>
        <v>1</v>
      </c>
      <c r="J206" s="53">
        <f>COUNTIFS(H$2:H206, H206)-1</f>
        <v>9</v>
      </c>
      <c r="K206" s="42" cm="1">
        <f t="array" ref="K206">IF(I206=1,
    J206,
    MAX(IF(H:H=H206, J:J)) - J206
)</f>
        <v>9</v>
      </c>
    </row>
    <row r="207" spans="1:11" x14ac:dyDescent="0.2">
      <c r="A207" s="43" t="s">
        <v>17</v>
      </c>
      <c r="B207" s="44" t="s">
        <v>88</v>
      </c>
      <c r="C207" s="42">
        <f>VLOOKUP(Tabela13[[#This Row],[Origem]],Tabela1[],2,FALSE)</f>
        <v>17</v>
      </c>
      <c r="D207" s="42">
        <f>VLOOKUP(Tabela13[[#This Row],[Destino]],Tabela1[],2,FALSE)</f>
        <v>88</v>
      </c>
      <c r="E207" s="51" t="s">
        <v>340</v>
      </c>
      <c r="F207" s="52" t="s">
        <v>854</v>
      </c>
      <c r="H207" s="42" t="str">
        <f t="shared" si="6"/>
        <v>Batalhão_Rua Gonçalves Dias</v>
      </c>
      <c r="I207" s="42">
        <f t="shared" si="7"/>
        <v>1</v>
      </c>
      <c r="J207" s="53">
        <f>COUNTIFS(H$2:H207, H207)-1</f>
        <v>10</v>
      </c>
      <c r="K207" s="42" cm="1">
        <f t="array" ref="K207">IF(I207=1,
    J207,
    MAX(IF(H:H=H207, J:J)) - J207
)</f>
        <v>10</v>
      </c>
    </row>
    <row r="208" spans="1:11" x14ac:dyDescent="0.2">
      <c r="A208" s="43" t="s">
        <v>17</v>
      </c>
      <c r="B208" s="44" t="s">
        <v>88</v>
      </c>
      <c r="C208" s="42">
        <f>VLOOKUP(Tabela13[[#This Row],[Origem]],Tabela1[],2,FALSE)</f>
        <v>17</v>
      </c>
      <c r="D208" s="42">
        <f>VLOOKUP(Tabela13[[#This Row],[Destino]],Tabela1[],2,FALSE)</f>
        <v>88</v>
      </c>
      <c r="E208" s="51" t="s">
        <v>341</v>
      </c>
      <c r="F208" s="52" t="s">
        <v>855</v>
      </c>
      <c r="H208" s="42" t="str">
        <f t="shared" si="6"/>
        <v>Batalhão_Rua Gonçalves Dias</v>
      </c>
      <c r="I208" s="42">
        <f t="shared" si="7"/>
        <v>1</v>
      </c>
      <c r="J208" s="53">
        <f>COUNTIFS(H$2:H208, H208)-1</f>
        <v>11</v>
      </c>
      <c r="K208" s="42" cm="1">
        <f t="array" ref="K208">IF(I208=1,
    J208,
    MAX(IF(H:H=H208, J:J)) - J208
)</f>
        <v>11</v>
      </c>
    </row>
    <row r="209" spans="1:11" x14ac:dyDescent="0.2">
      <c r="A209" s="43" t="s">
        <v>17</v>
      </c>
      <c r="B209" s="44" t="s">
        <v>88</v>
      </c>
      <c r="C209" s="42">
        <f>VLOOKUP(Tabela13[[#This Row],[Origem]],Tabela1[],2,FALSE)</f>
        <v>17</v>
      </c>
      <c r="D209" s="42">
        <f>VLOOKUP(Tabela13[[#This Row],[Destino]],Tabela1[],2,FALSE)</f>
        <v>88</v>
      </c>
      <c r="E209" s="51" t="s">
        <v>342</v>
      </c>
      <c r="F209" s="52" t="s">
        <v>856</v>
      </c>
      <c r="H209" s="42" t="str">
        <f t="shared" si="6"/>
        <v>Batalhão_Rua Gonçalves Dias</v>
      </c>
      <c r="I209" s="42">
        <f t="shared" si="7"/>
        <v>1</v>
      </c>
      <c r="J209" s="53">
        <f>COUNTIFS(H$2:H209, H209)-1</f>
        <v>12</v>
      </c>
      <c r="K209" s="42" cm="1">
        <f t="array" ref="K209">IF(I209=1,
    J209,
    MAX(IF(H:H=H209, J:J)) - J209
)</f>
        <v>12</v>
      </c>
    </row>
    <row r="210" spans="1:11" x14ac:dyDescent="0.2">
      <c r="A210" s="43" t="s">
        <v>17</v>
      </c>
      <c r="B210" s="44" t="s">
        <v>88</v>
      </c>
      <c r="C210" s="42">
        <f>VLOOKUP(Tabela13[[#This Row],[Origem]],Tabela1[],2,FALSE)</f>
        <v>17</v>
      </c>
      <c r="D210" s="42">
        <f>VLOOKUP(Tabela13[[#This Row],[Destino]],Tabela1[],2,FALSE)</f>
        <v>88</v>
      </c>
      <c r="E210" s="51" t="s">
        <v>343</v>
      </c>
      <c r="F210" s="52" t="s">
        <v>857</v>
      </c>
      <c r="H210" s="42" t="str">
        <f t="shared" si="6"/>
        <v>Batalhão_Rua Gonçalves Dias</v>
      </c>
      <c r="I210" s="42">
        <f t="shared" si="7"/>
        <v>1</v>
      </c>
      <c r="J210" s="53">
        <f>COUNTIFS(H$2:H210, H210)-1</f>
        <v>13</v>
      </c>
      <c r="K210" s="42" cm="1">
        <f t="array" ref="K210">IF(I210=1,
    J210,
    MAX(IF(H:H=H210, J:J)) - J210
)</f>
        <v>13</v>
      </c>
    </row>
    <row r="211" spans="1:11" x14ac:dyDescent="0.2">
      <c r="A211" s="43" t="s">
        <v>17</v>
      </c>
      <c r="B211" s="44" t="s">
        <v>88</v>
      </c>
      <c r="C211" s="42">
        <f>VLOOKUP(Tabela13[[#This Row],[Origem]],Tabela1[],2,FALSE)</f>
        <v>17</v>
      </c>
      <c r="D211" s="42">
        <f>VLOOKUP(Tabela13[[#This Row],[Destino]],Tabela1[],2,FALSE)</f>
        <v>88</v>
      </c>
      <c r="E211" s="51" t="s">
        <v>344</v>
      </c>
      <c r="F211" s="52" t="s">
        <v>858</v>
      </c>
      <c r="H211" s="42" t="str">
        <f t="shared" si="6"/>
        <v>Batalhão_Rua Gonçalves Dias</v>
      </c>
      <c r="I211" s="42">
        <f t="shared" si="7"/>
        <v>1</v>
      </c>
      <c r="J211" s="53">
        <f>COUNTIFS(H$2:H211, H211)-1</f>
        <v>14</v>
      </c>
      <c r="K211" s="42" cm="1">
        <f t="array" ref="K211">IF(I211=1,
    J211,
    MAX(IF(H:H=H211, J:J)) - J211
)</f>
        <v>14</v>
      </c>
    </row>
    <row r="212" spans="1:11" x14ac:dyDescent="0.2">
      <c r="A212" s="43" t="s">
        <v>17</v>
      </c>
      <c r="B212" s="44" t="s">
        <v>88</v>
      </c>
      <c r="C212" s="42">
        <f>VLOOKUP(Tabela13[[#This Row],[Origem]],Tabela1[],2,FALSE)</f>
        <v>17</v>
      </c>
      <c r="D212" s="42">
        <f>VLOOKUP(Tabela13[[#This Row],[Destino]],Tabela1[],2,FALSE)</f>
        <v>88</v>
      </c>
      <c r="E212" s="51" t="s">
        <v>342</v>
      </c>
      <c r="F212" s="52" t="s">
        <v>859</v>
      </c>
      <c r="H212" s="42" t="str">
        <f t="shared" si="6"/>
        <v>Batalhão_Rua Gonçalves Dias</v>
      </c>
      <c r="I212" s="42">
        <f t="shared" si="7"/>
        <v>1</v>
      </c>
      <c r="J212" s="53">
        <f>COUNTIFS(H$2:H212, H212)-1</f>
        <v>15</v>
      </c>
      <c r="K212" s="42" cm="1">
        <f t="array" ref="K212">IF(I212=1,
    J212,
    MAX(IF(H:H=H212, J:J)) - J212
)</f>
        <v>15</v>
      </c>
    </row>
    <row r="213" spans="1:11" x14ac:dyDescent="0.2">
      <c r="A213" s="43" t="s">
        <v>18</v>
      </c>
      <c r="B213" s="44" t="s">
        <v>1</v>
      </c>
      <c r="C213" s="42">
        <f>VLOOKUP(Tabela13[[#This Row],[Origem]],Tabela1[],2,FALSE)</f>
        <v>18</v>
      </c>
      <c r="D213" s="42">
        <f>VLOOKUP(Tabela13[[#This Row],[Destino]],Tabela1[],2,FALSE)</f>
        <v>1</v>
      </c>
      <c r="E213" s="51" t="s">
        <v>345</v>
      </c>
      <c r="F213" s="52" t="s">
        <v>860</v>
      </c>
      <c r="H213" s="42" t="str">
        <f t="shared" si="6"/>
        <v>Águas do Imperador_Boate Big House</v>
      </c>
      <c r="I213" s="42">
        <f t="shared" si="7"/>
        <v>-1</v>
      </c>
      <c r="J213" s="53">
        <f>COUNTIFS(H$2:H213, H213)-1</f>
        <v>0</v>
      </c>
      <c r="K213" s="42" cm="1">
        <f t="array" ref="K213">IF(I213=1,
    J213,
    MAX(IF(H:H=H213, J:J)) - J213
)</f>
        <v>8</v>
      </c>
    </row>
    <row r="214" spans="1:11" x14ac:dyDescent="0.2">
      <c r="A214" s="43" t="s">
        <v>18</v>
      </c>
      <c r="B214" s="44" t="s">
        <v>1</v>
      </c>
      <c r="C214" s="42">
        <f>VLOOKUP(Tabela13[[#This Row],[Origem]],Tabela1[],2,FALSE)</f>
        <v>18</v>
      </c>
      <c r="D214" s="42">
        <f>VLOOKUP(Tabela13[[#This Row],[Destino]],Tabela1[],2,FALSE)</f>
        <v>1</v>
      </c>
      <c r="E214" s="51" t="s">
        <v>345</v>
      </c>
      <c r="F214" s="52" t="s">
        <v>860</v>
      </c>
      <c r="H214" s="42" t="str">
        <f t="shared" si="6"/>
        <v>Águas do Imperador_Boate Big House</v>
      </c>
      <c r="I214" s="42">
        <f t="shared" si="7"/>
        <v>-1</v>
      </c>
      <c r="J214" s="53">
        <f>COUNTIFS(H$2:H214, H214)-1</f>
        <v>1</v>
      </c>
      <c r="K214" s="42" cm="1">
        <f t="array" ref="K214">IF(I214=1,
    J214,
    MAX(IF(H:H=H214, J:J)) - J214
)</f>
        <v>7</v>
      </c>
    </row>
    <row r="215" spans="1:11" x14ac:dyDescent="0.2">
      <c r="A215" s="43" t="s">
        <v>18</v>
      </c>
      <c r="B215" s="44" t="s">
        <v>1</v>
      </c>
      <c r="C215" s="42">
        <f>VLOOKUP(Tabela13[[#This Row],[Origem]],Tabela1[],2,FALSE)</f>
        <v>18</v>
      </c>
      <c r="D215" s="42">
        <f>VLOOKUP(Tabela13[[#This Row],[Destino]],Tabela1[],2,FALSE)</f>
        <v>1</v>
      </c>
      <c r="E215" s="51" t="s">
        <v>346</v>
      </c>
      <c r="F215" s="52" t="s">
        <v>861</v>
      </c>
      <c r="H215" s="42" t="str">
        <f t="shared" si="6"/>
        <v>Águas do Imperador_Boate Big House</v>
      </c>
      <c r="I215" s="42">
        <f t="shared" si="7"/>
        <v>-1</v>
      </c>
      <c r="J215" s="53">
        <f>COUNTIFS(H$2:H215, H215)-1</f>
        <v>2</v>
      </c>
      <c r="K215" s="42" cm="1">
        <f t="array" ref="K215">IF(I215=1,
    J215,
    MAX(IF(H:H=H215, J:J)) - J215
)</f>
        <v>6</v>
      </c>
    </row>
    <row r="216" spans="1:11" x14ac:dyDescent="0.2">
      <c r="A216" s="43" t="s">
        <v>18</v>
      </c>
      <c r="B216" s="44" t="s">
        <v>1</v>
      </c>
      <c r="C216" s="42">
        <f>VLOOKUP(Tabela13[[#This Row],[Origem]],Tabela1[],2,FALSE)</f>
        <v>18</v>
      </c>
      <c r="D216" s="42">
        <f>VLOOKUP(Tabela13[[#This Row],[Destino]],Tabela1[],2,FALSE)</f>
        <v>1</v>
      </c>
      <c r="E216" s="51" t="s">
        <v>347</v>
      </c>
      <c r="F216" s="52" t="s">
        <v>862</v>
      </c>
      <c r="H216" s="42" t="str">
        <f t="shared" si="6"/>
        <v>Águas do Imperador_Boate Big House</v>
      </c>
      <c r="I216" s="42">
        <f t="shared" si="7"/>
        <v>-1</v>
      </c>
      <c r="J216" s="53">
        <f>COUNTIFS(H$2:H216, H216)-1</f>
        <v>3</v>
      </c>
      <c r="K216" s="42" cm="1">
        <f t="array" ref="K216">IF(I216=1,
    J216,
    MAX(IF(H:H=H216, J:J)) - J216
)</f>
        <v>5</v>
      </c>
    </row>
    <row r="217" spans="1:11" x14ac:dyDescent="0.2">
      <c r="A217" s="43" t="s">
        <v>18</v>
      </c>
      <c r="B217" s="44" t="s">
        <v>1</v>
      </c>
      <c r="C217" s="42">
        <f>VLOOKUP(Tabela13[[#This Row],[Origem]],Tabela1[],2,FALSE)</f>
        <v>18</v>
      </c>
      <c r="D217" s="42">
        <f>VLOOKUP(Tabela13[[#This Row],[Destino]],Tabela1[],2,FALSE)</f>
        <v>1</v>
      </c>
      <c r="E217" s="51" t="s">
        <v>348</v>
      </c>
      <c r="F217" s="52" t="s">
        <v>863</v>
      </c>
      <c r="H217" s="42" t="str">
        <f t="shared" si="6"/>
        <v>Águas do Imperador_Boate Big House</v>
      </c>
      <c r="I217" s="42">
        <f t="shared" si="7"/>
        <v>-1</v>
      </c>
      <c r="J217" s="53">
        <f>COUNTIFS(H$2:H217, H217)-1</f>
        <v>4</v>
      </c>
      <c r="K217" s="42" cm="1">
        <f t="array" ref="K217">IF(I217=1,
    J217,
    MAX(IF(H:H=H217, J:J)) - J217
)</f>
        <v>4</v>
      </c>
    </row>
    <row r="218" spans="1:11" x14ac:dyDescent="0.2">
      <c r="A218" s="43" t="s">
        <v>18</v>
      </c>
      <c r="B218" s="44" t="s">
        <v>1</v>
      </c>
      <c r="C218" s="42">
        <f>VLOOKUP(Tabela13[[#This Row],[Origem]],Tabela1[],2,FALSE)</f>
        <v>18</v>
      </c>
      <c r="D218" s="42">
        <f>VLOOKUP(Tabela13[[#This Row],[Destino]],Tabela1[],2,FALSE)</f>
        <v>1</v>
      </c>
      <c r="E218" s="51" t="s">
        <v>349</v>
      </c>
      <c r="F218" s="52" t="s">
        <v>864</v>
      </c>
      <c r="H218" s="42" t="str">
        <f t="shared" si="6"/>
        <v>Águas do Imperador_Boate Big House</v>
      </c>
      <c r="I218" s="42">
        <f t="shared" si="7"/>
        <v>-1</v>
      </c>
      <c r="J218" s="53">
        <f>COUNTIFS(H$2:H218, H218)-1</f>
        <v>5</v>
      </c>
      <c r="K218" s="42" cm="1">
        <f t="array" ref="K218">IF(I218=1,
    J218,
    MAX(IF(H:H=H218, J:J)) - J218
)</f>
        <v>3</v>
      </c>
    </row>
    <row r="219" spans="1:11" x14ac:dyDescent="0.2">
      <c r="A219" s="43" t="s">
        <v>18</v>
      </c>
      <c r="B219" s="44" t="s">
        <v>1</v>
      </c>
      <c r="C219" s="42">
        <f>VLOOKUP(Tabela13[[#This Row],[Origem]],Tabela1[],2,FALSE)</f>
        <v>18</v>
      </c>
      <c r="D219" s="42">
        <f>VLOOKUP(Tabela13[[#This Row],[Destino]],Tabela1[],2,FALSE)</f>
        <v>1</v>
      </c>
      <c r="E219" s="51" t="s">
        <v>350</v>
      </c>
      <c r="F219" s="52" t="s">
        <v>865</v>
      </c>
      <c r="H219" s="42" t="str">
        <f t="shared" si="6"/>
        <v>Águas do Imperador_Boate Big House</v>
      </c>
      <c r="I219" s="42">
        <f t="shared" si="7"/>
        <v>-1</v>
      </c>
      <c r="J219" s="53">
        <f>COUNTIFS(H$2:H219, H219)-1</f>
        <v>6</v>
      </c>
      <c r="K219" s="42" cm="1">
        <f t="array" ref="K219">IF(I219=1,
    J219,
    MAX(IF(H:H=H219, J:J)) - J219
)</f>
        <v>2</v>
      </c>
    </row>
    <row r="220" spans="1:11" x14ac:dyDescent="0.2">
      <c r="A220" s="43" t="s">
        <v>18</v>
      </c>
      <c r="B220" s="44" t="s">
        <v>1</v>
      </c>
      <c r="C220" s="42">
        <f>VLOOKUP(Tabela13[[#This Row],[Origem]],Tabela1[],2,FALSE)</f>
        <v>18</v>
      </c>
      <c r="D220" s="42">
        <f>VLOOKUP(Tabela13[[#This Row],[Destino]],Tabela1[],2,FALSE)</f>
        <v>1</v>
      </c>
      <c r="E220" s="51" t="s">
        <v>351</v>
      </c>
      <c r="F220" s="52" t="s">
        <v>866</v>
      </c>
      <c r="H220" s="42" t="str">
        <f t="shared" si="6"/>
        <v>Águas do Imperador_Boate Big House</v>
      </c>
      <c r="I220" s="42">
        <f t="shared" si="7"/>
        <v>-1</v>
      </c>
      <c r="J220" s="53">
        <f>COUNTIFS(H$2:H220, H220)-1</f>
        <v>7</v>
      </c>
      <c r="K220" s="42" cm="1">
        <f t="array" ref="K220">IF(I220=1,
    J220,
    MAX(IF(H:H=H220, J:J)) - J220
)</f>
        <v>1</v>
      </c>
    </row>
    <row r="221" spans="1:11" x14ac:dyDescent="0.2">
      <c r="A221" s="43" t="s">
        <v>18</v>
      </c>
      <c r="B221" s="44" t="s">
        <v>1</v>
      </c>
      <c r="C221" s="42">
        <f>VLOOKUP(Tabela13[[#This Row],[Origem]],Tabela1[],2,FALSE)</f>
        <v>18</v>
      </c>
      <c r="D221" s="42">
        <f>VLOOKUP(Tabela13[[#This Row],[Destino]],Tabela1[],2,FALSE)</f>
        <v>1</v>
      </c>
      <c r="E221" s="51" t="s">
        <v>352</v>
      </c>
      <c r="F221" s="52" t="s">
        <v>867</v>
      </c>
      <c r="H221" s="42" t="str">
        <f t="shared" si="6"/>
        <v>Águas do Imperador_Boate Big House</v>
      </c>
      <c r="I221" s="42">
        <f t="shared" si="7"/>
        <v>-1</v>
      </c>
      <c r="J221" s="53">
        <f>COUNTIFS(H$2:H221, H221)-1</f>
        <v>8</v>
      </c>
      <c r="K221" s="42" cm="1">
        <f t="array" ref="K221">IF(I221=1,
    J221,
    MAX(IF(H:H=H221, J:J)) - J221
)</f>
        <v>0</v>
      </c>
    </row>
    <row r="222" spans="1:11" x14ac:dyDescent="0.2">
      <c r="A222" s="43" t="s">
        <v>18</v>
      </c>
      <c r="B222" s="44" t="s">
        <v>33</v>
      </c>
      <c r="C222" s="42">
        <f>VLOOKUP(Tabela13[[#This Row],[Origem]],Tabela1[],2,FALSE)</f>
        <v>18</v>
      </c>
      <c r="D222" s="42">
        <f>VLOOKUP(Tabela13[[#This Row],[Destino]],Tabela1[],2,FALSE)</f>
        <v>33</v>
      </c>
      <c r="E222" s="51" t="s">
        <v>353</v>
      </c>
      <c r="F222" s="52" t="s">
        <v>868</v>
      </c>
      <c r="H222" s="42" t="str">
        <f t="shared" si="6"/>
        <v>Boate Big House_Hiper Shopping</v>
      </c>
      <c r="I222" s="42">
        <f t="shared" si="7"/>
        <v>1</v>
      </c>
      <c r="J222" s="53">
        <f>COUNTIFS(H$2:H222, H222)-1</f>
        <v>0</v>
      </c>
      <c r="K222" s="42" cm="1">
        <f t="array" ref="K222">IF(I222=1,
    J222,
    MAX(IF(H:H=H222, J:J)) - J222
)</f>
        <v>0</v>
      </c>
    </row>
    <row r="223" spans="1:11" x14ac:dyDescent="0.2">
      <c r="A223" s="43" t="s">
        <v>18</v>
      </c>
      <c r="B223" s="44" t="s">
        <v>33</v>
      </c>
      <c r="C223" s="42">
        <f>VLOOKUP(Tabela13[[#This Row],[Origem]],Tabela1[],2,FALSE)</f>
        <v>18</v>
      </c>
      <c r="D223" s="42">
        <f>VLOOKUP(Tabela13[[#This Row],[Destino]],Tabela1[],2,FALSE)</f>
        <v>33</v>
      </c>
      <c r="E223" s="51" t="s">
        <v>354</v>
      </c>
      <c r="F223" s="52" t="s">
        <v>869</v>
      </c>
      <c r="H223" s="42" t="str">
        <f t="shared" si="6"/>
        <v>Boate Big House_Hiper Shopping</v>
      </c>
      <c r="I223" s="42">
        <f t="shared" si="7"/>
        <v>1</v>
      </c>
      <c r="J223" s="53">
        <f>COUNTIFS(H$2:H223, H223)-1</f>
        <v>1</v>
      </c>
      <c r="K223" s="42" cm="1">
        <f t="array" ref="K223">IF(I223=1,
    J223,
    MAX(IF(H:H=H223, J:J)) - J223
)</f>
        <v>1</v>
      </c>
    </row>
    <row r="224" spans="1:11" x14ac:dyDescent="0.2">
      <c r="A224" s="43" t="s">
        <v>18</v>
      </c>
      <c r="B224" s="44" t="s">
        <v>33</v>
      </c>
      <c r="C224" s="42">
        <f>VLOOKUP(Tabela13[[#This Row],[Origem]],Tabela1[],2,FALSE)</f>
        <v>18</v>
      </c>
      <c r="D224" s="42">
        <f>VLOOKUP(Tabela13[[#This Row],[Destino]],Tabela1[],2,FALSE)</f>
        <v>33</v>
      </c>
      <c r="E224" s="51" t="s">
        <v>355</v>
      </c>
      <c r="F224" s="52" t="s">
        <v>870</v>
      </c>
      <c r="H224" s="42" t="str">
        <f t="shared" si="6"/>
        <v>Boate Big House_Hiper Shopping</v>
      </c>
      <c r="I224" s="42">
        <f t="shared" si="7"/>
        <v>1</v>
      </c>
      <c r="J224" s="53">
        <f>COUNTIFS(H$2:H224, H224)-1</f>
        <v>2</v>
      </c>
      <c r="K224" s="42" cm="1">
        <f t="array" ref="K224">IF(I224=1,
    J224,
    MAX(IF(H:H=H224, J:J)) - J224
)</f>
        <v>2</v>
      </c>
    </row>
    <row r="225" spans="1:11" x14ac:dyDescent="0.2">
      <c r="A225" s="43" t="s">
        <v>18</v>
      </c>
      <c r="B225" s="44" t="s">
        <v>33</v>
      </c>
      <c r="C225" s="42">
        <f>VLOOKUP(Tabela13[[#This Row],[Origem]],Tabela1[],2,FALSE)</f>
        <v>18</v>
      </c>
      <c r="D225" s="42">
        <f>VLOOKUP(Tabela13[[#This Row],[Destino]],Tabela1[],2,FALSE)</f>
        <v>33</v>
      </c>
      <c r="E225" s="51" t="s">
        <v>356</v>
      </c>
      <c r="F225" s="52" t="s">
        <v>871</v>
      </c>
      <c r="H225" s="42" t="str">
        <f t="shared" si="6"/>
        <v>Boate Big House_Hiper Shopping</v>
      </c>
      <c r="I225" s="42">
        <f t="shared" si="7"/>
        <v>1</v>
      </c>
      <c r="J225" s="53">
        <f>COUNTIFS(H$2:H225, H225)-1</f>
        <v>3</v>
      </c>
      <c r="K225" s="42" cm="1">
        <f t="array" ref="K225">IF(I225=1,
    J225,
    MAX(IF(H:H=H225, J:J)) - J225
)</f>
        <v>3</v>
      </c>
    </row>
    <row r="226" spans="1:11" x14ac:dyDescent="0.2">
      <c r="A226" s="43" t="s">
        <v>18</v>
      </c>
      <c r="B226" s="44" t="s">
        <v>33</v>
      </c>
      <c r="C226" s="42">
        <f>VLOOKUP(Tabela13[[#This Row],[Origem]],Tabela1[],2,FALSE)</f>
        <v>18</v>
      </c>
      <c r="D226" s="42">
        <f>VLOOKUP(Tabela13[[#This Row],[Destino]],Tabela1[],2,FALSE)</f>
        <v>33</v>
      </c>
      <c r="E226" s="51" t="s">
        <v>357</v>
      </c>
      <c r="F226" s="52" t="s">
        <v>872</v>
      </c>
      <c r="H226" s="42" t="str">
        <f t="shared" si="6"/>
        <v>Boate Big House_Hiper Shopping</v>
      </c>
      <c r="I226" s="42">
        <f t="shared" si="7"/>
        <v>1</v>
      </c>
      <c r="J226" s="53">
        <f>COUNTIFS(H$2:H226, H226)-1</f>
        <v>4</v>
      </c>
      <c r="K226" s="42" cm="1">
        <f t="array" ref="K226">IF(I226=1,
    J226,
    MAX(IF(H:H=H226, J:J)) - J226
)</f>
        <v>4</v>
      </c>
    </row>
    <row r="227" spans="1:11" x14ac:dyDescent="0.2">
      <c r="A227" s="43" t="s">
        <v>18</v>
      </c>
      <c r="B227" s="44" t="s">
        <v>33</v>
      </c>
      <c r="C227" s="42">
        <f>VLOOKUP(Tabela13[[#This Row],[Origem]],Tabela1[],2,FALSE)</f>
        <v>18</v>
      </c>
      <c r="D227" s="42">
        <f>VLOOKUP(Tabela13[[#This Row],[Destino]],Tabela1[],2,FALSE)</f>
        <v>33</v>
      </c>
      <c r="E227" s="51" t="s">
        <v>358</v>
      </c>
      <c r="F227" s="52" t="s">
        <v>873</v>
      </c>
      <c r="H227" s="42" t="str">
        <f t="shared" si="6"/>
        <v>Boate Big House_Hiper Shopping</v>
      </c>
      <c r="I227" s="42">
        <f t="shared" si="7"/>
        <v>1</v>
      </c>
      <c r="J227" s="53">
        <f>COUNTIFS(H$2:H227, H227)-1</f>
        <v>5</v>
      </c>
      <c r="K227" s="42" cm="1">
        <f t="array" ref="K227">IF(I227=1,
    J227,
    MAX(IF(H:H=H227, J:J)) - J227
)</f>
        <v>5</v>
      </c>
    </row>
    <row r="228" spans="1:11" x14ac:dyDescent="0.2">
      <c r="A228" s="43" t="s">
        <v>18</v>
      </c>
      <c r="B228" s="44" t="s">
        <v>33</v>
      </c>
      <c r="C228" s="42">
        <f>VLOOKUP(Tabela13[[#This Row],[Origem]],Tabela1[],2,FALSE)</f>
        <v>18</v>
      </c>
      <c r="D228" s="42">
        <f>VLOOKUP(Tabela13[[#This Row],[Destino]],Tabela1[],2,FALSE)</f>
        <v>33</v>
      </c>
      <c r="E228" s="51" t="s">
        <v>359</v>
      </c>
      <c r="F228" s="52" t="s">
        <v>874</v>
      </c>
      <c r="H228" s="42" t="str">
        <f t="shared" si="6"/>
        <v>Boate Big House_Hiper Shopping</v>
      </c>
      <c r="I228" s="42">
        <f t="shared" si="7"/>
        <v>1</v>
      </c>
      <c r="J228" s="53">
        <f>COUNTIFS(H$2:H228, H228)-1</f>
        <v>6</v>
      </c>
      <c r="K228" s="42" cm="1">
        <f t="array" ref="K228">IF(I228=1,
    J228,
    MAX(IF(H:H=H228, J:J)) - J228
)</f>
        <v>6</v>
      </c>
    </row>
    <row r="229" spans="1:11" hidden="1" x14ac:dyDescent="0.2">
      <c r="A229" s="43" t="s">
        <v>19</v>
      </c>
      <c r="B229" s="44" t="s">
        <v>29</v>
      </c>
      <c r="C229" s="42">
        <f>VLOOKUP(Tabela13[[#This Row],[Origem]],Tabela1[],2,FALSE)</f>
        <v>19</v>
      </c>
      <c r="D229" s="42">
        <f>VLOOKUP(Tabela13[[#This Row],[Destino]],Tabela1[],2,FALSE)</f>
        <v>29</v>
      </c>
      <c r="E229" s="51" t="s">
        <v>188</v>
      </c>
      <c r="F229" s="52" t="s">
        <v>189</v>
      </c>
      <c r="H229" s="42" t="str">
        <f t="shared" si="6"/>
        <v>Bosque do Imperador_Correio</v>
      </c>
      <c r="I229" s="42">
        <f t="shared" si="7"/>
        <v>1</v>
      </c>
      <c r="J229" s="53">
        <f>COUNTIFS(H$2:H229, H229)-1</f>
        <v>0</v>
      </c>
      <c r="K229" s="42" cm="1">
        <f t="array" ref="K229">IF(I229=1,
    J229,
    MAX(IF(H:H=H229, J:J)) - J229
)</f>
        <v>0</v>
      </c>
    </row>
    <row r="230" spans="1:11" x14ac:dyDescent="0.2">
      <c r="A230" s="43" t="s">
        <v>19</v>
      </c>
      <c r="B230" s="44" t="s">
        <v>79</v>
      </c>
      <c r="C230" s="42">
        <f>VLOOKUP(Tabela13[[#This Row],[Origem]],Tabela1[],2,FALSE)</f>
        <v>19</v>
      </c>
      <c r="D230" s="42">
        <f>VLOOKUP(Tabela13[[#This Row],[Destino]],Tabela1[],2,FALSE)</f>
        <v>79</v>
      </c>
      <c r="E230" s="51" t="s">
        <v>360</v>
      </c>
      <c r="F230" s="52" t="s">
        <v>875</v>
      </c>
      <c r="H230" s="42" t="str">
        <f t="shared" si="6"/>
        <v>Bosque do Imperador_Rua Alberto Torres</v>
      </c>
      <c r="I230" s="42">
        <f t="shared" si="7"/>
        <v>1</v>
      </c>
      <c r="J230" s="53">
        <f>COUNTIFS(H$2:H230, H230)-1</f>
        <v>0</v>
      </c>
      <c r="K230" s="42" cm="1">
        <f t="array" ref="K230">IF(I230=1,
    J230,
    MAX(IF(H:H=H230, J:J)) - J230
)</f>
        <v>0</v>
      </c>
    </row>
    <row r="231" spans="1:11" x14ac:dyDescent="0.2">
      <c r="A231" s="43" t="s">
        <v>20</v>
      </c>
      <c r="B231" s="44" t="s">
        <v>15</v>
      </c>
      <c r="C231" s="42">
        <f>VLOOKUP(Tabela13[[#This Row],[Origem]],Tabela1[],2,FALSE)</f>
        <v>20</v>
      </c>
      <c r="D231" s="42">
        <f>VLOOKUP(Tabela13[[#This Row],[Destino]],Tabela1[],2,FALSE)</f>
        <v>16</v>
      </c>
      <c r="E231" s="51" t="s">
        <v>307</v>
      </c>
      <c r="F231" s="52" t="s">
        <v>821</v>
      </c>
      <c r="H231" s="42" t="str">
        <f t="shared" si="6"/>
        <v>Bar Bárbaros_BR 040</v>
      </c>
      <c r="I231" s="42">
        <f t="shared" si="7"/>
        <v>-1</v>
      </c>
      <c r="J231" s="53">
        <f>COUNTIFS(H$2:H231, H231)-1</f>
        <v>1</v>
      </c>
      <c r="K231" s="42" cm="1">
        <f t="array" ref="K231">IF(I231=1,
    J231,
    MAX(IF(H:H=H231, J:J)) - J231
)</f>
        <v>0</v>
      </c>
    </row>
    <row r="232" spans="1:11" x14ac:dyDescent="0.2">
      <c r="A232" s="43" t="s">
        <v>20</v>
      </c>
      <c r="B232" s="44" t="s">
        <v>76</v>
      </c>
      <c r="C232" s="42">
        <f>VLOOKUP(Tabela13[[#This Row],[Origem]],Tabela1[],2,FALSE)</f>
        <v>20</v>
      </c>
      <c r="D232" s="42">
        <f>VLOOKUP(Tabela13[[#This Row],[Destino]],Tabela1[],2,FALSE)</f>
        <v>76</v>
      </c>
      <c r="E232" s="51" t="s">
        <v>361</v>
      </c>
      <c r="F232" s="52" t="s">
        <v>876</v>
      </c>
      <c r="H232" s="42" t="str">
        <f t="shared" si="6"/>
        <v>BR 040_Rodoviária</v>
      </c>
      <c r="I232" s="42">
        <f t="shared" si="7"/>
        <v>1</v>
      </c>
      <c r="J232" s="53">
        <f>COUNTIFS(H$2:H232, H232)-1</f>
        <v>0</v>
      </c>
      <c r="K232" s="42" cm="1">
        <f t="array" ref="K232">IF(I232=1,
    J232,
    MAX(IF(H:H=H232, J:J)) - J232
)</f>
        <v>0</v>
      </c>
    </row>
    <row r="233" spans="1:11" x14ac:dyDescent="0.2">
      <c r="A233" s="43" t="s">
        <v>20</v>
      </c>
      <c r="B233" s="44" t="s">
        <v>76</v>
      </c>
      <c r="C233" s="42">
        <f>VLOOKUP(Tabela13[[#This Row],[Origem]],Tabela1[],2,FALSE)</f>
        <v>20</v>
      </c>
      <c r="D233" s="42">
        <f>VLOOKUP(Tabela13[[#This Row],[Destino]],Tabela1[],2,FALSE)</f>
        <v>76</v>
      </c>
      <c r="E233" s="51" t="s">
        <v>362</v>
      </c>
      <c r="F233" s="52" t="s">
        <v>877</v>
      </c>
      <c r="H233" s="42" t="str">
        <f t="shared" si="6"/>
        <v>BR 040_Rodoviária</v>
      </c>
      <c r="I233" s="42">
        <f t="shared" si="7"/>
        <v>1</v>
      </c>
      <c r="J233" s="53">
        <f>COUNTIFS(H$2:H233, H233)-1</f>
        <v>1</v>
      </c>
      <c r="K233" s="42" cm="1">
        <f t="array" ref="K233">IF(I233=1,
    J233,
    MAX(IF(H:H=H233, J:J)) - J233
)</f>
        <v>1</v>
      </c>
    </row>
    <row r="234" spans="1:11" x14ac:dyDescent="0.2">
      <c r="A234" s="43" t="s">
        <v>20</v>
      </c>
      <c r="B234" s="44" t="s">
        <v>76</v>
      </c>
      <c r="C234" s="42">
        <f>VLOOKUP(Tabela13[[#This Row],[Origem]],Tabela1[],2,FALSE)</f>
        <v>20</v>
      </c>
      <c r="D234" s="42">
        <f>VLOOKUP(Tabela13[[#This Row],[Destino]],Tabela1[],2,FALSE)</f>
        <v>76</v>
      </c>
      <c r="E234" s="51" t="s">
        <v>363</v>
      </c>
      <c r="F234" s="52" t="s">
        <v>878</v>
      </c>
      <c r="H234" s="42" t="str">
        <f t="shared" si="6"/>
        <v>BR 040_Rodoviária</v>
      </c>
      <c r="I234" s="42">
        <f t="shared" si="7"/>
        <v>1</v>
      </c>
      <c r="J234" s="53">
        <f>COUNTIFS(H$2:H234, H234)-1</f>
        <v>2</v>
      </c>
      <c r="K234" s="42" cm="1">
        <f t="array" ref="K234">IF(I234=1,
    J234,
    MAX(IF(H:H=H234, J:J)) - J234
)</f>
        <v>2</v>
      </c>
    </row>
    <row r="235" spans="1:11" x14ac:dyDescent="0.2">
      <c r="A235" s="43" t="s">
        <v>20</v>
      </c>
      <c r="B235" s="44" t="s">
        <v>76</v>
      </c>
      <c r="C235" s="42">
        <f>VLOOKUP(Tabela13[[#This Row],[Origem]],Tabela1[],2,FALSE)</f>
        <v>20</v>
      </c>
      <c r="D235" s="42">
        <f>VLOOKUP(Tabela13[[#This Row],[Destino]],Tabela1[],2,FALSE)</f>
        <v>76</v>
      </c>
      <c r="E235" s="51" t="s">
        <v>364</v>
      </c>
      <c r="F235" s="52" t="s">
        <v>879</v>
      </c>
      <c r="H235" s="42" t="str">
        <f t="shared" si="6"/>
        <v>BR 040_Rodoviária</v>
      </c>
      <c r="I235" s="42">
        <f t="shared" si="7"/>
        <v>1</v>
      </c>
      <c r="J235" s="53">
        <f>COUNTIFS(H$2:H235, H235)-1</f>
        <v>3</v>
      </c>
      <c r="K235" s="42" cm="1">
        <f t="array" ref="K235">IF(I235=1,
    J235,
    MAX(IF(H:H=H235, J:J)) - J235
)</f>
        <v>3</v>
      </c>
    </row>
    <row r="236" spans="1:11" x14ac:dyDescent="0.2">
      <c r="A236" s="43" t="s">
        <v>20</v>
      </c>
      <c r="B236" s="44" t="s">
        <v>76</v>
      </c>
      <c r="C236" s="42">
        <f>VLOOKUP(Tabela13[[#This Row],[Origem]],Tabela1[],2,FALSE)</f>
        <v>20</v>
      </c>
      <c r="D236" s="42">
        <f>VLOOKUP(Tabela13[[#This Row],[Destino]],Tabela1[],2,FALSE)</f>
        <v>76</v>
      </c>
      <c r="E236" s="51" t="s">
        <v>365</v>
      </c>
      <c r="F236" s="52" t="s">
        <v>880</v>
      </c>
      <c r="H236" s="42" t="str">
        <f t="shared" si="6"/>
        <v>BR 040_Rodoviária</v>
      </c>
      <c r="I236" s="42">
        <f t="shared" si="7"/>
        <v>1</v>
      </c>
      <c r="J236" s="53">
        <f>COUNTIFS(H$2:H236, H236)-1</f>
        <v>4</v>
      </c>
      <c r="K236" s="42" cm="1">
        <f t="array" ref="K236">IF(I236=1,
    J236,
    MAX(IF(H:H=H236, J:J)) - J236
)</f>
        <v>4</v>
      </c>
    </row>
    <row r="237" spans="1:11" x14ac:dyDescent="0.2">
      <c r="A237" s="43" t="s">
        <v>20</v>
      </c>
      <c r="B237" s="44" t="s">
        <v>76</v>
      </c>
      <c r="C237" s="42">
        <f>VLOOKUP(Tabela13[[#This Row],[Origem]],Tabela1[],2,FALSE)</f>
        <v>20</v>
      </c>
      <c r="D237" s="42">
        <f>VLOOKUP(Tabela13[[#This Row],[Destino]],Tabela1[],2,FALSE)</f>
        <v>76</v>
      </c>
      <c r="E237" s="51" t="s">
        <v>366</v>
      </c>
      <c r="F237" s="52" t="s">
        <v>881</v>
      </c>
      <c r="H237" s="42" t="str">
        <f t="shared" si="6"/>
        <v>BR 040_Rodoviária</v>
      </c>
      <c r="I237" s="42">
        <f t="shared" si="7"/>
        <v>1</v>
      </c>
      <c r="J237" s="53">
        <f>COUNTIFS(H$2:H237, H237)-1</f>
        <v>5</v>
      </c>
      <c r="K237" s="42" cm="1">
        <f t="array" ref="K237">IF(I237=1,
    J237,
    MAX(IF(H:H=H237, J:J)) - J237
)</f>
        <v>5</v>
      </c>
    </row>
    <row r="238" spans="1:11" x14ac:dyDescent="0.2">
      <c r="A238" s="43" t="s">
        <v>20</v>
      </c>
      <c r="B238" s="44" t="s">
        <v>76</v>
      </c>
      <c r="C238" s="42">
        <f>VLOOKUP(Tabela13[[#This Row],[Origem]],Tabela1[],2,FALSE)</f>
        <v>20</v>
      </c>
      <c r="D238" s="42">
        <f>VLOOKUP(Tabela13[[#This Row],[Destino]],Tabela1[],2,FALSE)</f>
        <v>76</v>
      </c>
      <c r="E238" s="51" t="s">
        <v>367</v>
      </c>
      <c r="F238" s="52" t="s">
        <v>882</v>
      </c>
      <c r="H238" s="42" t="str">
        <f t="shared" si="6"/>
        <v>BR 040_Rodoviária</v>
      </c>
      <c r="I238" s="42">
        <f t="shared" si="7"/>
        <v>1</v>
      </c>
      <c r="J238" s="53">
        <f>COUNTIFS(H$2:H238, H238)-1</f>
        <v>6</v>
      </c>
      <c r="K238" s="42" cm="1">
        <f t="array" ref="K238">IF(I238=1,
    J238,
    MAX(IF(H:H=H238, J:J)) - J238
)</f>
        <v>6</v>
      </c>
    </row>
    <row r="239" spans="1:11" x14ac:dyDescent="0.2">
      <c r="A239" s="43" t="s">
        <v>20</v>
      </c>
      <c r="B239" s="44" t="s">
        <v>76</v>
      </c>
      <c r="C239" s="42">
        <f>VLOOKUP(Tabela13[[#This Row],[Origem]],Tabela1[],2,FALSE)</f>
        <v>20</v>
      </c>
      <c r="D239" s="42">
        <f>VLOOKUP(Tabela13[[#This Row],[Destino]],Tabela1[],2,FALSE)</f>
        <v>76</v>
      </c>
      <c r="E239" s="51" t="s">
        <v>368</v>
      </c>
      <c r="F239" s="52" t="s">
        <v>883</v>
      </c>
      <c r="H239" s="42" t="str">
        <f t="shared" si="6"/>
        <v>BR 040_Rodoviária</v>
      </c>
      <c r="I239" s="42">
        <f t="shared" si="7"/>
        <v>1</v>
      </c>
      <c r="J239" s="53">
        <f>COUNTIFS(H$2:H239, H239)-1</f>
        <v>7</v>
      </c>
      <c r="K239" s="42" cm="1">
        <f t="array" ref="K239">IF(I239=1,
    J239,
    MAX(IF(H:H=H239, J:J)) - J239
)</f>
        <v>7</v>
      </c>
    </row>
    <row r="240" spans="1:11" x14ac:dyDescent="0.2">
      <c r="A240" s="43" t="s">
        <v>20</v>
      </c>
      <c r="B240" s="44" t="s">
        <v>76</v>
      </c>
      <c r="C240" s="42">
        <f>VLOOKUP(Tabela13[[#This Row],[Origem]],Tabela1[],2,FALSE)</f>
        <v>20</v>
      </c>
      <c r="D240" s="42">
        <f>VLOOKUP(Tabela13[[#This Row],[Destino]],Tabela1[],2,FALSE)</f>
        <v>76</v>
      </c>
      <c r="E240" s="51" t="s">
        <v>369</v>
      </c>
      <c r="F240" s="52" t="s">
        <v>884</v>
      </c>
      <c r="H240" s="42" t="str">
        <f t="shared" si="6"/>
        <v>BR 040_Rodoviária</v>
      </c>
      <c r="I240" s="42">
        <f t="shared" si="7"/>
        <v>1</v>
      </c>
      <c r="J240" s="53">
        <f>COUNTIFS(H$2:H240, H240)-1</f>
        <v>8</v>
      </c>
      <c r="K240" s="42" cm="1">
        <f t="array" ref="K240">IF(I240=1,
    J240,
    MAX(IF(H:H=H240, J:J)) - J240
)</f>
        <v>8</v>
      </c>
    </row>
    <row r="241" spans="1:11" x14ac:dyDescent="0.2">
      <c r="A241" s="43" t="s">
        <v>20</v>
      </c>
      <c r="B241" s="44" t="s">
        <v>76</v>
      </c>
      <c r="C241" s="42">
        <f>VLOOKUP(Tabela13[[#This Row],[Origem]],Tabela1[],2,FALSE)</f>
        <v>20</v>
      </c>
      <c r="D241" s="42">
        <f>VLOOKUP(Tabela13[[#This Row],[Destino]],Tabela1[],2,FALSE)</f>
        <v>76</v>
      </c>
      <c r="E241" s="51" t="s">
        <v>370</v>
      </c>
      <c r="F241" s="52" t="s">
        <v>885</v>
      </c>
      <c r="H241" s="42" t="str">
        <f t="shared" si="6"/>
        <v>BR 040_Rodoviária</v>
      </c>
      <c r="I241" s="42">
        <f t="shared" si="7"/>
        <v>1</v>
      </c>
      <c r="J241" s="53">
        <f>COUNTIFS(H$2:H241, H241)-1</f>
        <v>9</v>
      </c>
      <c r="K241" s="42" cm="1">
        <f t="array" ref="K241">IF(I241=1,
    J241,
    MAX(IF(H:H=H241, J:J)) - J241
)</f>
        <v>9</v>
      </c>
    </row>
    <row r="242" spans="1:11" x14ac:dyDescent="0.2">
      <c r="A242" s="43" t="s">
        <v>20</v>
      </c>
      <c r="B242" s="44" t="s">
        <v>76</v>
      </c>
      <c r="C242" s="42">
        <f>VLOOKUP(Tabela13[[#This Row],[Origem]],Tabela1[],2,FALSE)</f>
        <v>20</v>
      </c>
      <c r="D242" s="42">
        <f>VLOOKUP(Tabela13[[#This Row],[Destino]],Tabela1[],2,FALSE)</f>
        <v>76</v>
      </c>
      <c r="E242" s="51" t="s">
        <v>371</v>
      </c>
      <c r="F242" s="52" t="s">
        <v>886</v>
      </c>
      <c r="H242" s="42" t="str">
        <f t="shared" si="6"/>
        <v>BR 040_Rodoviária</v>
      </c>
      <c r="I242" s="42">
        <f t="shared" si="7"/>
        <v>1</v>
      </c>
      <c r="J242" s="53">
        <f>COUNTIFS(H$2:H242, H242)-1</f>
        <v>10</v>
      </c>
      <c r="K242" s="42" cm="1">
        <f t="array" ref="K242">IF(I242=1,
    J242,
    MAX(IF(H:H=H242, J:J)) - J242
)</f>
        <v>10</v>
      </c>
    </row>
    <row r="243" spans="1:11" x14ac:dyDescent="0.2">
      <c r="A243" s="43" t="s">
        <v>20</v>
      </c>
      <c r="B243" s="44" t="s">
        <v>76</v>
      </c>
      <c r="C243" s="42">
        <f>VLOOKUP(Tabela13[[#This Row],[Origem]],Tabela1[],2,FALSE)</f>
        <v>20</v>
      </c>
      <c r="D243" s="42">
        <f>VLOOKUP(Tabela13[[#This Row],[Destino]],Tabela1[],2,FALSE)</f>
        <v>76</v>
      </c>
      <c r="E243" s="51" t="s">
        <v>372</v>
      </c>
      <c r="F243" s="52" t="s">
        <v>887</v>
      </c>
      <c r="H243" s="42" t="str">
        <f t="shared" si="6"/>
        <v>BR 040_Rodoviária</v>
      </c>
      <c r="I243" s="42">
        <f t="shared" si="7"/>
        <v>1</v>
      </c>
      <c r="J243" s="53">
        <f>COUNTIFS(H$2:H243, H243)-1</f>
        <v>11</v>
      </c>
      <c r="K243" s="42" cm="1">
        <f t="array" ref="K243">IF(I243=1,
    J243,
    MAX(IF(H:H=H243, J:J)) - J243
)</f>
        <v>11</v>
      </c>
    </row>
    <row r="244" spans="1:11" hidden="1" x14ac:dyDescent="0.2">
      <c r="A244" s="43" t="s">
        <v>21</v>
      </c>
      <c r="B244" s="44" t="s">
        <v>92</v>
      </c>
      <c r="C244" s="42">
        <f>VLOOKUP(Tabela13[[#This Row],[Origem]],Tabela1[],2,FALSE)</f>
        <v>21</v>
      </c>
      <c r="D244" s="42">
        <f>VLOOKUP(Tabela13[[#This Row],[Destino]],Tabela1[],2,FALSE)</f>
        <v>92</v>
      </c>
      <c r="E244" s="51" t="s">
        <v>188</v>
      </c>
      <c r="F244" s="52" t="s">
        <v>189</v>
      </c>
      <c r="H244" s="42" t="str">
        <f t="shared" si="6"/>
        <v>Capelas funerárias_Rua Paulino Afonso</v>
      </c>
      <c r="I244" s="42">
        <f t="shared" si="7"/>
        <v>1</v>
      </c>
      <c r="J244" s="53">
        <f>COUNTIFS(H$2:H244, H244)-1</f>
        <v>0</v>
      </c>
      <c r="K244" s="42" cm="1">
        <f t="array" ref="K244">IF(I244=1,
    J244,
    MAX(IF(H:H=H244, J:J)) - J244
)</f>
        <v>0</v>
      </c>
    </row>
    <row r="245" spans="1:11" x14ac:dyDescent="0.2">
      <c r="A245" s="43" t="s">
        <v>21</v>
      </c>
      <c r="B245" s="44" t="s">
        <v>67</v>
      </c>
      <c r="C245" s="42">
        <f>VLOOKUP(Tabela13[[#This Row],[Origem]],Tabela1[],2,FALSE)</f>
        <v>21</v>
      </c>
      <c r="D245" s="42">
        <f>VLOOKUP(Tabela13[[#This Row],[Destino]],Tabela1[],2,FALSE)</f>
        <v>67</v>
      </c>
      <c r="E245" s="51" t="s">
        <v>373</v>
      </c>
      <c r="F245" s="52" t="s">
        <v>888</v>
      </c>
      <c r="H245" s="42" t="str">
        <f t="shared" si="6"/>
        <v>Capelas funerárias_Praça Oswaldo Cruz</v>
      </c>
      <c r="I245" s="42">
        <f t="shared" si="7"/>
        <v>1</v>
      </c>
      <c r="J245" s="53">
        <f>COUNTIFS(H$2:H245, H245)-1</f>
        <v>0</v>
      </c>
      <c r="K245" s="42" cm="1">
        <f t="array" ref="K245">IF(I245=1,
    J245,
    MAX(IF(H:H=H245, J:J)) - J245
)</f>
        <v>0</v>
      </c>
    </row>
    <row r="246" spans="1:11" hidden="1" x14ac:dyDescent="0.2">
      <c r="A246" s="43" t="s">
        <v>21</v>
      </c>
      <c r="B246" s="44" t="s">
        <v>39</v>
      </c>
      <c r="C246" s="42">
        <f>VLOOKUP(Tabela13[[#This Row],[Origem]],Tabela1[],2,FALSE)</f>
        <v>21</v>
      </c>
      <c r="D246" s="42">
        <f>VLOOKUP(Tabela13[[#This Row],[Destino]],Tabela1[],2,FALSE)</f>
        <v>39</v>
      </c>
      <c r="E246" s="51" t="s">
        <v>188</v>
      </c>
      <c r="F246" s="52" t="s">
        <v>189</v>
      </c>
      <c r="H246" s="42" t="str">
        <f t="shared" si="6"/>
        <v>Capelas funerárias_Igreja do Sagrado</v>
      </c>
      <c r="I246" s="42">
        <f t="shared" si="7"/>
        <v>1</v>
      </c>
      <c r="J246" s="53">
        <f>COUNTIFS(H$2:H246, H246)-1</f>
        <v>0</v>
      </c>
      <c r="K246" s="42" cm="1">
        <f t="array" ref="K246">IF(I246=1,
    J246,
    MAX(IF(H:H=H246, J:J)) - J246
)</f>
        <v>0</v>
      </c>
    </row>
    <row r="247" spans="1:11" hidden="1" x14ac:dyDescent="0.2">
      <c r="A247" s="43" t="s">
        <v>22</v>
      </c>
      <c r="B247" s="44" t="s">
        <v>54</v>
      </c>
      <c r="C247" s="42">
        <f>VLOOKUP(Tabela13[[#This Row],[Origem]],Tabela1[],2,FALSE)</f>
        <v>22</v>
      </c>
      <c r="D247" s="42">
        <f>VLOOKUP(Tabela13[[#This Row],[Destino]],Tabela1[],2,FALSE)</f>
        <v>54</v>
      </c>
      <c r="E247" s="51" t="s">
        <v>188</v>
      </c>
      <c r="F247" s="52" t="s">
        <v>189</v>
      </c>
      <c r="H247" s="42" t="str">
        <f t="shared" si="6"/>
        <v>Casa Barão de Mauá_Palácio de Cristal</v>
      </c>
      <c r="I247" s="42">
        <f t="shared" si="7"/>
        <v>1</v>
      </c>
      <c r="J247" s="53">
        <f>COUNTIFS(H$2:H247, H247)-1</f>
        <v>0</v>
      </c>
      <c r="K247" s="42" cm="1">
        <f t="array" ref="K247">IF(I247=1,
    J247,
    MAX(IF(H:H=H247, J:J)) - J247
)</f>
        <v>0</v>
      </c>
    </row>
    <row r="248" spans="1:11" hidden="1" x14ac:dyDescent="0.2">
      <c r="A248" s="43" t="s">
        <v>22</v>
      </c>
      <c r="B248" s="44" t="s">
        <v>5</v>
      </c>
      <c r="C248" s="42">
        <f>VLOOKUP(Tabela13[[#This Row],[Origem]],Tabela1[],2,FALSE)</f>
        <v>22</v>
      </c>
      <c r="D248" s="42">
        <f>VLOOKUP(Tabela13[[#This Row],[Destino]],Tabela1[],2,FALSE)</f>
        <v>6</v>
      </c>
      <c r="E248" s="51" t="s">
        <v>188</v>
      </c>
      <c r="F248" s="52" t="s">
        <v>189</v>
      </c>
      <c r="H248" s="42" t="str">
        <f t="shared" si="6"/>
        <v>Avenida Piabanha_Casa Barão de Mauá</v>
      </c>
      <c r="I248" s="42">
        <f t="shared" si="7"/>
        <v>-1</v>
      </c>
      <c r="J248" s="53">
        <f>COUNTIFS(H$2:H248, H248)-1</f>
        <v>0</v>
      </c>
      <c r="K248" s="42" cm="1">
        <f t="array" ref="K248">IF(I248=1,
    J248,
    MAX(IF(H:H=H248, J:J)) - J248
)</f>
        <v>0</v>
      </c>
    </row>
    <row r="249" spans="1:11" hidden="1" x14ac:dyDescent="0.2">
      <c r="A249" s="43" t="s">
        <v>23</v>
      </c>
      <c r="B249" s="44" t="s">
        <v>4</v>
      </c>
      <c r="C249" s="42">
        <f>VLOOKUP(Tabela13[[#This Row],[Origem]],Tabela1[],2,FALSE)</f>
        <v>23</v>
      </c>
      <c r="D249" s="42">
        <f>VLOOKUP(Tabela13[[#This Row],[Destino]],Tabela1[],2,FALSE)</f>
        <v>5</v>
      </c>
      <c r="E249" s="51" t="s">
        <v>188</v>
      </c>
      <c r="F249" s="52" t="s">
        <v>189</v>
      </c>
      <c r="H249" s="42" t="str">
        <f t="shared" si="6"/>
        <v>Avenida Koeler_Catedral</v>
      </c>
      <c r="I249" s="42">
        <f t="shared" si="7"/>
        <v>-1</v>
      </c>
      <c r="J249" s="53">
        <f>COUNTIFS(H$2:H249, H249)-1</f>
        <v>0</v>
      </c>
      <c r="K249" s="42" cm="1">
        <f t="array" ref="K249">IF(I249=1,
    J249,
    MAX(IF(H:H=H249, J:J)) - J249
)</f>
        <v>0</v>
      </c>
    </row>
    <row r="250" spans="1:11" x14ac:dyDescent="0.2">
      <c r="A250" s="43" t="s">
        <v>23</v>
      </c>
      <c r="B250" s="44" t="s">
        <v>7</v>
      </c>
      <c r="C250" s="42">
        <f>VLOOKUP(Tabela13[[#This Row],[Origem]],Tabela1[],2,FALSE)</f>
        <v>23</v>
      </c>
      <c r="D250" s="42">
        <f>VLOOKUP(Tabela13[[#This Row],[Destino]],Tabela1[],2,FALSE)</f>
        <v>8</v>
      </c>
      <c r="E250" s="51" t="s">
        <v>374</v>
      </c>
      <c r="F250" s="52" t="s">
        <v>889</v>
      </c>
      <c r="H250" s="42" t="str">
        <f t="shared" si="6"/>
        <v>Avenida Tiradentes_Catedral</v>
      </c>
      <c r="I250" s="42">
        <f t="shared" si="7"/>
        <v>-1</v>
      </c>
      <c r="J250" s="53">
        <f>COUNTIFS(H$2:H250, H250)-1</f>
        <v>0</v>
      </c>
      <c r="K250" s="42" cm="1">
        <f t="array" ref="K250">IF(I250=1,
    J250,
    MAX(IF(H:H=H250, J:J)) - J250
)</f>
        <v>0</v>
      </c>
    </row>
    <row r="251" spans="1:11" x14ac:dyDescent="0.2">
      <c r="A251" s="43" t="s">
        <v>24</v>
      </c>
      <c r="B251" s="44" t="s">
        <v>67</v>
      </c>
      <c r="C251" s="42">
        <f>VLOOKUP(Tabela13[[#This Row],[Origem]],Tabela1[],2,FALSE)</f>
        <v>24</v>
      </c>
      <c r="D251" s="42">
        <f>VLOOKUP(Tabela13[[#This Row],[Destino]],Tabela1[],2,FALSE)</f>
        <v>67</v>
      </c>
      <c r="E251" s="51" t="s">
        <v>375</v>
      </c>
      <c r="F251" s="52" t="s">
        <v>890</v>
      </c>
      <c r="H251" s="42" t="str">
        <f t="shared" si="6"/>
        <v>Cemitério_Praça Oswaldo Cruz</v>
      </c>
      <c r="I251" s="42">
        <f t="shared" si="7"/>
        <v>1</v>
      </c>
      <c r="J251" s="53">
        <f>COUNTIFS(H$2:H251, H251)-1</f>
        <v>0</v>
      </c>
      <c r="K251" s="42" cm="1">
        <f t="array" ref="K251">IF(I251=1,
    J251,
    MAX(IF(H:H=H251, J:J)) - J251
)</f>
        <v>0</v>
      </c>
    </row>
    <row r="252" spans="1:11" x14ac:dyDescent="0.2">
      <c r="A252" s="43" t="s">
        <v>24</v>
      </c>
      <c r="B252" s="44" t="s">
        <v>67</v>
      </c>
      <c r="C252" s="42">
        <f>VLOOKUP(Tabela13[[#This Row],[Origem]],Tabela1[],2,FALSE)</f>
        <v>24</v>
      </c>
      <c r="D252" s="42">
        <f>VLOOKUP(Tabela13[[#This Row],[Destino]],Tabela1[],2,FALSE)</f>
        <v>67</v>
      </c>
      <c r="E252" s="51" t="s">
        <v>376</v>
      </c>
      <c r="F252" s="52" t="s">
        <v>891</v>
      </c>
      <c r="H252" s="42" t="str">
        <f t="shared" si="6"/>
        <v>Cemitério_Praça Oswaldo Cruz</v>
      </c>
      <c r="I252" s="42">
        <f t="shared" si="7"/>
        <v>1</v>
      </c>
      <c r="J252" s="53">
        <f>COUNTIFS(H$2:H252, H252)-1</f>
        <v>1</v>
      </c>
      <c r="K252" s="42" cm="1">
        <f t="array" ref="K252">IF(I252=1,
    J252,
    MAX(IF(H:H=H252, J:J)) - J252
)</f>
        <v>1</v>
      </c>
    </row>
    <row r="253" spans="1:11" x14ac:dyDescent="0.2">
      <c r="A253" s="43" t="s">
        <v>24</v>
      </c>
      <c r="B253" s="44" t="s">
        <v>67</v>
      </c>
      <c r="C253" s="42">
        <f>VLOOKUP(Tabela13[[#This Row],[Origem]],Tabela1[],2,FALSE)</f>
        <v>24</v>
      </c>
      <c r="D253" s="42">
        <f>VLOOKUP(Tabela13[[#This Row],[Destino]],Tabela1[],2,FALSE)</f>
        <v>67</v>
      </c>
      <c r="E253" s="51" t="s">
        <v>377</v>
      </c>
      <c r="F253" s="52" t="s">
        <v>888</v>
      </c>
      <c r="H253" s="42" t="str">
        <f t="shared" si="6"/>
        <v>Cemitério_Praça Oswaldo Cruz</v>
      </c>
      <c r="I253" s="42">
        <f t="shared" si="7"/>
        <v>1</v>
      </c>
      <c r="J253" s="53">
        <f>COUNTIFS(H$2:H253, H253)-1</f>
        <v>2</v>
      </c>
      <c r="K253" s="42" cm="1">
        <f t="array" ref="K253">IF(I253=1,
    J253,
    MAX(IF(H:H=H253, J:J)) - J253
)</f>
        <v>2</v>
      </c>
    </row>
    <row r="254" spans="1:11" x14ac:dyDescent="0.2">
      <c r="A254" s="43" t="s">
        <v>24</v>
      </c>
      <c r="B254" s="44" t="s">
        <v>67</v>
      </c>
      <c r="C254" s="42">
        <f>VLOOKUP(Tabela13[[#This Row],[Origem]],Tabela1[],2,FALSE)</f>
        <v>24</v>
      </c>
      <c r="D254" s="42">
        <f>VLOOKUP(Tabela13[[#This Row],[Destino]],Tabela1[],2,FALSE)</f>
        <v>67</v>
      </c>
      <c r="E254" s="51" t="s">
        <v>378</v>
      </c>
      <c r="F254" s="52" t="s">
        <v>892</v>
      </c>
      <c r="H254" s="42" t="str">
        <f t="shared" si="6"/>
        <v>Cemitério_Praça Oswaldo Cruz</v>
      </c>
      <c r="I254" s="42">
        <f t="shared" si="7"/>
        <v>1</v>
      </c>
      <c r="J254" s="53">
        <f>COUNTIFS(H$2:H254, H254)-1</f>
        <v>3</v>
      </c>
      <c r="K254" s="42" cm="1">
        <f t="array" ref="K254">IF(I254=1,
    J254,
    MAX(IF(H:H=H254, J:J)) - J254
)</f>
        <v>3</v>
      </c>
    </row>
    <row r="255" spans="1:11" x14ac:dyDescent="0.2">
      <c r="A255" s="43" t="s">
        <v>24</v>
      </c>
      <c r="B255" s="44" t="s">
        <v>67</v>
      </c>
      <c r="C255" s="42">
        <f>VLOOKUP(Tabela13[[#This Row],[Origem]],Tabela1[],2,FALSE)</f>
        <v>24</v>
      </c>
      <c r="D255" s="42">
        <f>VLOOKUP(Tabela13[[#This Row],[Destino]],Tabela1[],2,FALSE)</f>
        <v>67</v>
      </c>
      <c r="E255" s="51" t="s">
        <v>379</v>
      </c>
      <c r="F255" s="52" t="s">
        <v>893</v>
      </c>
      <c r="H255" s="42" t="str">
        <f t="shared" si="6"/>
        <v>Cemitério_Praça Oswaldo Cruz</v>
      </c>
      <c r="I255" s="42">
        <f t="shared" si="7"/>
        <v>1</v>
      </c>
      <c r="J255" s="53">
        <f>COUNTIFS(H$2:H255, H255)-1</f>
        <v>4</v>
      </c>
      <c r="K255" s="42" cm="1">
        <f t="array" ref="K255">IF(I255=1,
    J255,
    MAX(IF(H:H=H255, J:J)) - J255
)</f>
        <v>4</v>
      </c>
    </row>
    <row r="256" spans="1:11" x14ac:dyDescent="0.2">
      <c r="A256" s="43" t="s">
        <v>24</v>
      </c>
      <c r="B256" s="44" t="s">
        <v>67</v>
      </c>
      <c r="C256" s="42">
        <f>VLOOKUP(Tabela13[[#This Row],[Origem]],Tabela1[],2,FALSE)</f>
        <v>24</v>
      </c>
      <c r="D256" s="42">
        <f>VLOOKUP(Tabela13[[#This Row],[Destino]],Tabela1[],2,FALSE)</f>
        <v>67</v>
      </c>
      <c r="E256" s="51" t="s">
        <v>380</v>
      </c>
      <c r="F256" s="52" t="s">
        <v>894</v>
      </c>
      <c r="H256" s="42" t="str">
        <f t="shared" si="6"/>
        <v>Cemitério_Praça Oswaldo Cruz</v>
      </c>
      <c r="I256" s="42">
        <f t="shared" si="7"/>
        <v>1</v>
      </c>
      <c r="J256" s="53">
        <f>COUNTIFS(H$2:H256, H256)-1</f>
        <v>5</v>
      </c>
      <c r="K256" s="42" cm="1">
        <f t="array" ref="K256">IF(I256=1,
    J256,
    MAX(IF(H:H=H256, J:J)) - J256
)</f>
        <v>5</v>
      </c>
    </row>
    <row r="257" spans="1:11" x14ac:dyDescent="0.2">
      <c r="A257" s="43" t="s">
        <v>24</v>
      </c>
      <c r="B257" s="44" t="s">
        <v>94</v>
      </c>
      <c r="C257" s="42">
        <f>VLOOKUP(Tabela13[[#This Row],[Origem]],Tabela1[],2,FALSE)</f>
        <v>24</v>
      </c>
      <c r="D257" s="42">
        <f>VLOOKUP(Tabela13[[#This Row],[Destino]],Tabela1[],2,FALSE)</f>
        <v>94</v>
      </c>
      <c r="E257" s="51" t="s">
        <v>381</v>
      </c>
      <c r="F257" s="52" t="s">
        <v>895</v>
      </c>
      <c r="H257" s="42" t="str">
        <f t="shared" si="6"/>
        <v>Cemitério_Rua Rockfeller</v>
      </c>
      <c r="I257" s="42">
        <f t="shared" si="7"/>
        <v>1</v>
      </c>
      <c r="J257" s="53">
        <f>COUNTIFS(H$2:H257, H257)-1</f>
        <v>0</v>
      </c>
      <c r="K257" s="42" cm="1">
        <f t="array" ref="K257">IF(I257=1,
    J257,
    MAX(IF(H:H=H257, J:J)) - J257
)</f>
        <v>0</v>
      </c>
    </row>
    <row r="258" spans="1:11" x14ac:dyDescent="0.2">
      <c r="A258" s="43" t="s">
        <v>24</v>
      </c>
      <c r="B258" s="44" t="s">
        <v>94</v>
      </c>
      <c r="C258" s="42">
        <f>VLOOKUP(Tabela13[[#This Row],[Origem]],Tabela1[],2,FALSE)</f>
        <v>24</v>
      </c>
      <c r="D258" s="42">
        <f>VLOOKUP(Tabela13[[#This Row],[Destino]],Tabela1[],2,FALSE)</f>
        <v>94</v>
      </c>
      <c r="E258" s="51" t="s">
        <v>382</v>
      </c>
      <c r="F258" s="52" t="s">
        <v>896</v>
      </c>
      <c r="H258" s="42" t="str">
        <f t="shared" ref="H258:H321" si="8">IF(A258&lt;B258, A258&amp;"_"&amp;B258, B258&amp;"_"&amp;A258)</f>
        <v>Cemitério_Rua Rockfeller</v>
      </c>
      <c r="I258" s="42">
        <f t="shared" ref="I258:I321" si="9">IF(A258&lt;B258, 1, -1)</f>
        <v>1</v>
      </c>
      <c r="J258" s="53">
        <f>COUNTIFS(H$2:H258, H258)-1</f>
        <v>1</v>
      </c>
      <c r="K258" s="42" cm="1">
        <f t="array" ref="K258">IF(I258=1,
    J258,
    MAX(IF(H:H=H258, J:J)) - J258
)</f>
        <v>1</v>
      </c>
    </row>
    <row r="259" spans="1:11" x14ac:dyDescent="0.2">
      <c r="A259" s="43" t="s">
        <v>24</v>
      </c>
      <c r="B259" s="44" t="s">
        <v>94</v>
      </c>
      <c r="C259" s="42">
        <f>VLOOKUP(Tabela13[[#This Row],[Origem]],Tabela1[],2,FALSE)</f>
        <v>24</v>
      </c>
      <c r="D259" s="42">
        <f>VLOOKUP(Tabela13[[#This Row],[Destino]],Tabela1[],2,FALSE)</f>
        <v>94</v>
      </c>
      <c r="E259" s="51" t="s">
        <v>383</v>
      </c>
      <c r="F259" s="52" t="s">
        <v>718</v>
      </c>
      <c r="H259" s="42" t="str">
        <f t="shared" si="8"/>
        <v>Cemitério_Rua Rockfeller</v>
      </c>
      <c r="I259" s="42">
        <f t="shared" si="9"/>
        <v>1</v>
      </c>
      <c r="J259" s="53">
        <f>COUNTIFS(H$2:H259, H259)-1</f>
        <v>2</v>
      </c>
      <c r="K259" s="42" cm="1">
        <f t="array" ref="K259">IF(I259=1,
    J259,
    MAX(IF(H:H=H259, J:J)) - J259
)</f>
        <v>2</v>
      </c>
    </row>
    <row r="260" spans="1:11" x14ac:dyDescent="0.2">
      <c r="A260" s="43" t="s">
        <v>24</v>
      </c>
      <c r="B260" s="44" t="s">
        <v>94</v>
      </c>
      <c r="C260" s="42">
        <f>VLOOKUP(Tabela13[[#This Row],[Origem]],Tabela1[],2,FALSE)</f>
        <v>24</v>
      </c>
      <c r="D260" s="42">
        <f>VLOOKUP(Tabela13[[#This Row],[Destino]],Tabela1[],2,FALSE)</f>
        <v>94</v>
      </c>
      <c r="E260" s="51" t="s">
        <v>384</v>
      </c>
      <c r="F260" s="52" t="s">
        <v>897</v>
      </c>
      <c r="H260" s="42" t="str">
        <f t="shared" si="8"/>
        <v>Cemitério_Rua Rockfeller</v>
      </c>
      <c r="I260" s="42">
        <f t="shared" si="9"/>
        <v>1</v>
      </c>
      <c r="J260" s="53">
        <f>COUNTIFS(H$2:H260, H260)-1</f>
        <v>3</v>
      </c>
      <c r="K260" s="42" cm="1">
        <f t="array" ref="K260">IF(I260=1,
    J260,
    MAX(IF(H:H=H260, J:J)) - J260
)</f>
        <v>3</v>
      </c>
    </row>
    <row r="261" spans="1:11" x14ac:dyDescent="0.2">
      <c r="A261" s="43" t="s">
        <v>24</v>
      </c>
      <c r="B261" s="44" t="s">
        <v>94</v>
      </c>
      <c r="C261" s="42">
        <f>VLOOKUP(Tabela13[[#This Row],[Origem]],Tabela1[],2,FALSE)</f>
        <v>24</v>
      </c>
      <c r="D261" s="42">
        <f>VLOOKUP(Tabela13[[#This Row],[Destino]],Tabela1[],2,FALSE)</f>
        <v>94</v>
      </c>
      <c r="E261" s="51" t="s">
        <v>385</v>
      </c>
      <c r="F261" s="52" t="s">
        <v>898</v>
      </c>
      <c r="H261" s="42" t="str">
        <f t="shared" si="8"/>
        <v>Cemitério_Rua Rockfeller</v>
      </c>
      <c r="I261" s="42">
        <f t="shared" si="9"/>
        <v>1</v>
      </c>
      <c r="J261" s="53">
        <f>COUNTIFS(H$2:H261, H261)-1</f>
        <v>4</v>
      </c>
      <c r="K261" s="42" cm="1">
        <f t="array" ref="K261">IF(I261=1,
    J261,
    MAX(IF(H:H=H261, J:J)) - J261
)</f>
        <v>4</v>
      </c>
    </row>
    <row r="262" spans="1:11" x14ac:dyDescent="0.2">
      <c r="A262" s="43" t="s">
        <v>24</v>
      </c>
      <c r="B262" s="44" t="s">
        <v>94</v>
      </c>
      <c r="C262" s="42">
        <f>VLOOKUP(Tabela13[[#This Row],[Origem]],Tabela1[],2,FALSE)</f>
        <v>24</v>
      </c>
      <c r="D262" s="42">
        <f>VLOOKUP(Tabela13[[#This Row],[Destino]],Tabela1[],2,FALSE)</f>
        <v>94</v>
      </c>
      <c r="E262" s="51" t="s">
        <v>386</v>
      </c>
      <c r="F262" s="52" t="s">
        <v>899</v>
      </c>
      <c r="H262" s="42" t="str">
        <f t="shared" si="8"/>
        <v>Cemitério_Rua Rockfeller</v>
      </c>
      <c r="I262" s="42">
        <f t="shared" si="9"/>
        <v>1</v>
      </c>
      <c r="J262" s="53">
        <f>COUNTIFS(H$2:H262, H262)-1</f>
        <v>5</v>
      </c>
      <c r="K262" s="42" cm="1">
        <f t="array" ref="K262">IF(I262=1,
    J262,
    MAX(IF(H:H=H262, J:J)) - J262
)</f>
        <v>5</v>
      </c>
    </row>
    <row r="263" spans="1:11" x14ac:dyDescent="0.2">
      <c r="A263" s="43" t="s">
        <v>24</v>
      </c>
      <c r="B263" s="44" t="s">
        <v>94</v>
      </c>
      <c r="C263" s="42">
        <f>VLOOKUP(Tabela13[[#This Row],[Origem]],Tabela1[],2,FALSE)</f>
        <v>24</v>
      </c>
      <c r="D263" s="42">
        <f>VLOOKUP(Tabela13[[#This Row],[Destino]],Tabela1[],2,FALSE)</f>
        <v>94</v>
      </c>
      <c r="E263" s="51" t="s">
        <v>387</v>
      </c>
      <c r="F263" s="52" t="s">
        <v>900</v>
      </c>
      <c r="H263" s="42" t="str">
        <f t="shared" si="8"/>
        <v>Cemitério_Rua Rockfeller</v>
      </c>
      <c r="I263" s="42">
        <f t="shared" si="9"/>
        <v>1</v>
      </c>
      <c r="J263" s="53">
        <f>COUNTIFS(H$2:H263, H263)-1</f>
        <v>6</v>
      </c>
      <c r="K263" s="42" cm="1">
        <f t="array" ref="K263">IF(I263=1,
    J263,
    MAX(IF(H:H=H263, J:J)) - J263
)</f>
        <v>6</v>
      </c>
    </row>
    <row r="264" spans="1:11" x14ac:dyDescent="0.2">
      <c r="A264" s="43" t="s">
        <v>24</v>
      </c>
      <c r="B264" s="44" t="s">
        <v>94</v>
      </c>
      <c r="C264" s="42">
        <f>VLOOKUP(Tabela13[[#This Row],[Origem]],Tabela1[],2,FALSE)</f>
        <v>24</v>
      </c>
      <c r="D264" s="42">
        <f>VLOOKUP(Tabela13[[#This Row],[Destino]],Tabela1[],2,FALSE)</f>
        <v>94</v>
      </c>
      <c r="E264" s="51" t="s">
        <v>388</v>
      </c>
      <c r="F264" s="52" t="s">
        <v>901</v>
      </c>
      <c r="H264" s="42" t="str">
        <f t="shared" si="8"/>
        <v>Cemitério_Rua Rockfeller</v>
      </c>
      <c r="I264" s="42">
        <f t="shared" si="9"/>
        <v>1</v>
      </c>
      <c r="J264" s="53">
        <f>COUNTIFS(H$2:H264, H264)-1</f>
        <v>7</v>
      </c>
      <c r="K264" s="42" cm="1">
        <f t="array" ref="K264">IF(I264=1,
    J264,
    MAX(IF(H:H=H264, J:J)) - J264
)</f>
        <v>7</v>
      </c>
    </row>
    <row r="265" spans="1:11" x14ac:dyDescent="0.2">
      <c r="A265" s="43" t="s">
        <v>24</v>
      </c>
      <c r="B265" s="44" t="s">
        <v>94</v>
      </c>
      <c r="C265" s="42">
        <f>VLOOKUP(Tabela13[[#This Row],[Origem]],Tabela1[],2,FALSE)</f>
        <v>24</v>
      </c>
      <c r="D265" s="42">
        <f>VLOOKUP(Tabela13[[#This Row],[Destino]],Tabela1[],2,FALSE)</f>
        <v>94</v>
      </c>
      <c r="E265" s="51" t="s">
        <v>389</v>
      </c>
      <c r="F265" s="52" t="s">
        <v>902</v>
      </c>
      <c r="H265" s="42" t="str">
        <f t="shared" si="8"/>
        <v>Cemitério_Rua Rockfeller</v>
      </c>
      <c r="I265" s="42">
        <f t="shared" si="9"/>
        <v>1</v>
      </c>
      <c r="J265" s="53">
        <f>COUNTIFS(H$2:H265, H265)-1</f>
        <v>8</v>
      </c>
      <c r="K265" s="42" cm="1">
        <f t="array" ref="K265">IF(I265=1,
    J265,
    MAX(IF(H:H=H265, J:J)) - J265
)</f>
        <v>8</v>
      </c>
    </row>
    <row r="266" spans="1:11" x14ac:dyDescent="0.2">
      <c r="A266" s="43" t="s">
        <v>24</v>
      </c>
      <c r="B266" s="44" t="s">
        <v>94</v>
      </c>
      <c r="C266" s="42">
        <f>VLOOKUP(Tabela13[[#This Row],[Origem]],Tabela1[],2,FALSE)</f>
        <v>24</v>
      </c>
      <c r="D266" s="42">
        <f>VLOOKUP(Tabela13[[#This Row],[Destino]],Tabela1[],2,FALSE)</f>
        <v>94</v>
      </c>
      <c r="E266" s="51" t="s">
        <v>390</v>
      </c>
      <c r="F266" s="52" t="s">
        <v>903</v>
      </c>
      <c r="H266" s="42" t="str">
        <f t="shared" si="8"/>
        <v>Cemitério_Rua Rockfeller</v>
      </c>
      <c r="I266" s="42">
        <f t="shared" si="9"/>
        <v>1</v>
      </c>
      <c r="J266" s="53">
        <f>COUNTIFS(H$2:H266, H266)-1</f>
        <v>9</v>
      </c>
      <c r="K266" s="42" cm="1">
        <f t="array" ref="K266">IF(I266=1,
    J266,
    MAX(IF(H:H=H266, J:J)) - J266
)</f>
        <v>9</v>
      </c>
    </row>
    <row r="267" spans="1:11" x14ac:dyDescent="0.2">
      <c r="A267" s="43" t="s">
        <v>24</v>
      </c>
      <c r="B267" s="44" t="s">
        <v>94</v>
      </c>
      <c r="C267" s="42">
        <f>VLOOKUP(Tabela13[[#This Row],[Origem]],Tabela1[],2,FALSE)</f>
        <v>24</v>
      </c>
      <c r="D267" s="42">
        <f>VLOOKUP(Tabela13[[#This Row],[Destino]],Tabela1[],2,FALSE)</f>
        <v>94</v>
      </c>
      <c r="E267" s="51" t="s">
        <v>391</v>
      </c>
      <c r="F267" s="52" t="s">
        <v>904</v>
      </c>
      <c r="H267" s="42" t="str">
        <f t="shared" si="8"/>
        <v>Cemitério_Rua Rockfeller</v>
      </c>
      <c r="I267" s="42">
        <f t="shared" si="9"/>
        <v>1</v>
      </c>
      <c r="J267" s="53">
        <f>COUNTIFS(H$2:H267, H267)-1</f>
        <v>10</v>
      </c>
      <c r="K267" s="42" cm="1">
        <f t="array" ref="K267">IF(I267=1,
    J267,
    MAX(IF(H:H=H267, J:J)) - J267
)</f>
        <v>10</v>
      </c>
    </row>
    <row r="268" spans="1:11" x14ac:dyDescent="0.2">
      <c r="A268" s="43" t="s">
        <v>24</v>
      </c>
      <c r="B268" s="44" t="s">
        <v>94</v>
      </c>
      <c r="C268" s="42">
        <f>VLOOKUP(Tabela13[[#This Row],[Origem]],Tabela1[],2,FALSE)</f>
        <v>24</v>
      </c>
      <c r="D268" s="42">
        <f>VLOOKUP(Tabela13[[#This Row],[Destino]],Tabela1[],2,FALSE)</f>
        <v>94</v>
      </c>
      <c r="E268" s="51" t="s">
        <v>392</v>
      </c>
      <c r="F268" s="52" t="s">
        <v>905</v>
      </c>
      <c r="H268" s="42" t="str">
        <f t="shared" si="8"/>
        <v>Cemitério_Rua Rockfeller</v>
      </c>
      <c r="I268" s="42">
        <f t="shared" si="9"/>
        <v>1</v>
      </c>
      <c r="J268" s="53">
        <f>COUNTIFS(H$2:H268, H268)-1</f>
        <v>11</v>
      </c>
      <c r="K268" s="42" cm="1">
        <f t="array" ref="K268">IF(I268=1,
    J268,
    MAX(IF(H:H=H268, J:J)) - J268
)</f>
        <v>11</v>
      </c>
    </row>
    <row r="269" spans="1:11" hidden="1" x14ac:dyDescent="0.2">
      <c r="A269" s="43" t="s">
        <v>25</v>
      </c>
      <c r="B269" s="44" t="s">
        <v>14</v>
      </c>
      <c r="C269" s="42">
        <f>VLOOKUP(Tabela13[[#This Row],[Origem]],Tabela1[],2,FALSE)</f>
        <v>25</v>
      </c>
      <c r="D269" s="42">
        <f>VLOOKUP(Tabela13[[#This Row],[Destino]],Tabela1[],2,FALSE)</f>
        <v>15</v>
      </c>
      <c r="E269" s="51" t="s">
        <v>188</v>
      </c>
      <c r="F269" s="52" t="s">
        <v>189</v>
      </c>
      <c r="H269" s="42" t="str">
        <f t="shared" si="8"/>
        <v>Banca de Jornal_Centro</v>
      </c>
      <c r="I269" s="42">
        <f t="shared" si="9"/>
        <v>-1</v>
      </c>
      <c r="J269" s="53">
        <f>COUNTIFS(H$2:H269, H269)-1</f>
        <v>0</v>
      </c>
      <c r="K269" s="42" cm="1">
        <f t="array" ref="K269">IF(I269=1,
    J269,
    MAX(IF(H:H=H269, J:J)) - J269
)</f>
        <v>0</v>
      </c>
    </row>
    <row r="270" spans="1:11" hidden="1" x14ac:dyDescent="0.2">
      <c r="A270" s="43" t="s">
        <v>25</v>
      </c>
      <c r="B270" s="44" t="s">
        <v>26</v>
      </c>
      <c r="C270" s="42">
        <f>VLOOKUP(Tabela13[[#This Row],[Origem]],Tabela1[],2,FALSE)</f>
        <v>25</v>
      </c>
      <c r="D270" s="42">
        <f>VLOOKUP(Tabela13[[#This Row],[Destino]],Tabela1[],2,FALSE)</f>
        <v>26</v>
      </c>
      <c r="E270" s="51" t="s">
        <v>188</v>
      </c>
      <c r="F270" s="52" t="s">
        <v>189</v>
      </c>
      <c r="H270" s="42" t="str">
        <f t="shared" si="8"/>
        <v>Centro_Chafariz</v>
      </c>
      <c r="I270" s="42">
        <f t="shared" si="9"/>
        <v>1</v>
      </c>
      <c r="J270" s="53">
        <f>COUNTIFS(H$2:H270, H270)-1</f>
        <v>0</v>
      </c>
      <c r="K270" s="42" cm="1">
        <f t="array" ref="K270">IF(I270=1,
    J270,
    MAX(IF(H:H=H270, J:J)) - J270
)</f>
        <v>0</v>
      </c>
    </row>
    <row r="271" spans="1:11" hidden="1" x14ac:dyDescent="0.2">
      <c r="A271" s="43" t="s">
        <v>26</v>
      </c>
      <c r="B271" s="44" t="s">
        <v>52</v>
      </c>
      <c r="C271" s="42">
        <f>VLOOKUP(Tabela13[[#This Row],[Origem]],Tabela1[],2,FALSE)</f>
        <v>26</v>
      </c>
      <c r="D271" s="42">
        <f>VLOOKUP(Tabela13[[#This Row],[Destino]],Tabela1[],2,FALSE)</f>
        <v>52</v>
      </c>
      <c r="E271" s="51" t="s">
        <v>188</v>
      </c>
      <c r="F271" s="52" t="s">
        <v>189</v>
      </c>
      <c r="H271" s="42" t="str">
        <f t="shared" si="8"/>
        <v>Chafariz_Obelisco</v>
      </c>
      <c r="I271" s="42">
        <f t="shared" si="9"/>
        <v>1</v>
      </c>
      <c r="J271" s="53">
        <f>COUNTIFS(H$2:H271, H271)-1</f>
        <v>0</v>
      </c>
      <c r="K271" s="42" cm="1">
        <f t="array" ref="K271">IF(I271=1,
    J271,
    MAX(IF(H:H=H271, J:J)) - J271
)</f>
        <v>0</v>
      </c>
    </row>
    <row r="272" spans="1:11" hidden="1" x14ac:dyDescent="0.2">
      <c r="A272" s="43" t="s">
        <v>26</v>
      </c>
      <c r="B272" s="44" t="s">
        <v>71</v>
      </c>
      <c r="C272" s="42">
        <f>VLOOKUP(Tabela13[[#This Row],[Origem]],Tabela1[],2,FALSE)</f>
        <v>26</v>
      </c>
      <c r="D272" s="42">
        <f>VLOOKUP(Tabela13[[#This Row],[Destino]],Tabela1[],2,FALSE)</f>
        <v>71</v>
      </c>
      <c r="E272" s="51" t="s">
        <v>188</v>
      </c>
      <c r="F272" s="52" t="s">
        <v>189</v>
      </c>
      <c r="H272" s="42" t="str">
        <f t="shared" si="8"/>
        <v>Chafariz_Restaurante D'Angelo</v>
      </c>
      <c r="I272" s="42">
        <f t="shared" si="9"/>
        <v>1</v>
      </c>
      <c r="J272" s="53">
        <f>COUNTIFS(H$2:H272, H272)-1</f>
        <v>0</v>
      </c>
      <c r="K272" s="42" cm="1">
        <f t="array" ref="K272">IF(I272=1,
    J272,
    MAX(IF(H:H=H272, J:J)) - J272
)</f>
        <v>0</v>
      </c>
    </row>
    <row r="273" spans="1:11" hidden="1" x14ac:dyDescent="0.2">
      <c r="A273" s="43" t="s">
        <v>27</v>
      </c>
      <c r="B273" s="44" t="s">
        <v>75</v>
      </c>
      <c r="C273" s="42">
        <f>VLOOKUP(Tabela13[[#This Row],[Origem]],Tabela1[],2,FALSE)</f>
        <v>27</v>
      </c>
      <c r="D273" s="42">
        <f>VLOOKUP(Tabela13[[#This Row],[Destino]],Tabela1[],2,FALSE)</f>
        <v>75</v>
      </c>
      <c r="E273" s="51" t="s">
        <v>188</v>
      </c>
      <c r="F273" s="52" t="s">
        <v>189</v>
      </c>
      <c r="H273" s="42" t="str">
        <f t="shared" si="8"/>
        <v>Colégio Nossa Senhora do Amparo_Restaurante Odin</v>
      </c>
      <c r="I273" s="42">
        <f t="shared" si="9"/>
        <v>1</v>
      </c>
      <c r="J273" s="53">
        <f>COUNTIFS(H$2:H273, H273)-1</f>
        <v>0</v>
      </c>
      <c r="K273" s="42" cm="1">
        <f t="array" ref="K273">IF(I273=1,
    J273,
    MAX(IF(H:H=H273, J:J)) - J273
)</f>
        <v>0</v>
      </c>
    </row>
    <row r="274" spans="1:11" x14ac:dyDescent="0.2">
      <c r="A274" s="43" t="s">
        <v>27</v>
      </c>
      <c r="B274" s="44" t="s">
        <v>91</v>
      </c>
      <c r="C274" s="42">
        <f>VLOOKUP(Tabela13[[#This Row],[Origem]],Tabela1[],2,FALSE)</f>
        <v>27</v>
      </c>
      <c r="D274" s="42">
        <f>VLOOKUP(Tabela13[[#This Row],[Destino]],Tabela1[],2,FALSE)</f>
        <v>91</v>
      </c>
      <c r="E274" s="51" t="s">
        <v>393</v>
      </c>
      <c r="F274" s="52" t="s">
        <v>906</v>
      </c>
      <c r="H274" s="42" t="str">
        <f t="shared" si="8"/>
        <v>Colégio Nossa Senhora do Amparo_Rua Padre Siqueira</v>
      </c>
      <c r="I274" s="42">
        <f t="shared" si="9"/>
        <v>1</v>
      </c>
      <c r="J274" s="53">
        <f>COUNTIFS(H$2:H274, H274)-1</f>
        <v>0</v>
      </c>
      <c r="K274" s="42" cm="1">
        <f t="array" ref="K274">IF(I274=1,
    J274,
    MAX(IF(H:H=H274, J:J)) - J274
)</f>
        <v>0</v>
      </c>
    </row>
    <row r="275" spans="1:11" x14ac:dyDescent="0.2">
      <c r="A275" s="43" t="s">
        <v>27</v>
      </c>
      <c r="B275" s="44" t="s">
        <v>91</v>
      </c>
      <c r="C275" s="42">
        <f>VLOOKUP(Tabela13[[#This Row],[Origem]],Tabela1[],2,FALSE)</f>
        <v>27</v>
      </c>
      <c r="D275" s="42">
        <f>VLOOKUP(Tabela13[[#This Row],[Destino]],Tabela1[],2,FALSE)</f>
        <v>91</v>
      </c>
      <c r="E275" s="51" t="s">
        <v>394</v>
      </c>
      <c r="F275" s="52" t="s">
        <v>907</v>
      </c>
      <c r="H275" s="42" t="str">
        <f t="shared" si="8"/>
        <v>Colégio Nossa Senhora do Amparo_Rua Padre Siqueira</v>
      </c>
      <c r="I275" s="42">
        <f t="shared" si="9"/>
        <v>1</v>
      </c>
      <c r="J275" s="53">
        <f>COUNTIFS(H$2:H275, H275)-1</f>
        <v>1</v>
      </c>
      <c r="K275" s="42" cm="1">
        <f t="array" ref="K275">IF(I275=1,
    J275,
    MAX(IF(H:H=H275, J:J)) - J275
)</f>
        <v>1</v>
      </c>
    </row>
    <row r="276" spans="1:11" x14ac:dyDescent="0.2">
      <c r="A276" s="43" t="s">
        <v>27</v>
      </c>
      <c r="B276" s="44" t="s">
        <v>91</v>
      </c>
      <c r="C276" s="42">
        <f>VLOOKUP(Tabela13[[#This Row],[Origem]],Tabela1[],2,FALSE)</f>
        <v>27</v>
      </c>
      <c r="D276" s="42">
        <f>VLOOKUP(Tabela13[[#This Row],[Destino]],Tabela1[],2,FALSE)</f>
        <v>91</v>
      </c>
      <c r="E276" s="51" t="s">
        <v>395</v>
      </c>
      <c r="F276" s="52" t="s">
        <v>908</v>
      </c>
      <c r="H276" s="42" t="str">
        <f t="shared" si="8"/>
        <v>Colégio Nossa Senhora do Amparo_Rua Padre Siqueira</v>
      </c>
      <c r="I276" s="42">
        <f t="shared" si="9"/>
        <v>1</v>
      </c>
      <c r="J276" s="53">
        <f>COUNTIFS(H$2:H276, H276)-1</f>
        <v>2</v>
      </c>
      <c r="K276" s="42" cm="1">
        <f t="array" ref="K276">IF(I276=1,
    J276,
    MAX(IF(H:H=H276, J:J)) - J276
)</f>
        <v>2</v>
      </c>
    </row>
    <row r="277" spans="1:11" x14ac:dyDescent="0.2">
      <c r="A277" s="43" t="s">
        <v>27</v>
      </c>
      <c r="B277" s="44" t="s">
        <v>91</v>
      </c>
      <c r="C277" s="42">
        <f>VLOOKUP(Tabela13[[#This Row],[Origem]],Tabela1[],2,FALSE)</f>
        <v>27</v>
      </c>
      <c r="D277" s="42">
        <f>VLOOKUP(Tabela13[[#This Row],[Destino]],Tabela1[],2,FALSE)</f>
        <v>91</v>
      </c>
      <c r="E277" s="51" t="s">
        <v>396</v>
      </c>
      <c r="F277" s="52" t="s">
        <v>909</v>
      </c>
      <c r="H277" s="42" t="str">
        <f t="shared" si="8"/>
        <v>Colégio Nossa Senhora do Amparo_Rua Padre Siqueira</v>
      </c>
      <c r="I277" s="42">
        <f t="shared" si="9"/>
        <v>1</v>
      </c>
      <c r="J277" s="53">
        <f>COUNTIFS(H$2:H277, H277)-1</f>
        <v>3</v>
      </c>
      <c r="K277" s="42" cm="1">
        <f t="array" ref="K277">IF(I277=1,
    J277,
    MAX(IF(H:H=H277, J:J)) - J277
)</f>
        <v>3</v>
      </c>
    </row>
    <row r="278" spans="1:11" x14ac:dyDescent="0.2">
      <c r="A278" s="43" t="s">
        <v>28</v>
      </c>
      <c r="B278" s="44" t="s">
        <v>55</v>
      </c>
      <c r="C278" s="42">
        <f>VLOOKUP(Tabela13[[#This Row],[Origem]],Tabela1[],2,FALSE)</f>
        <v>28</v>
      </c>
      <c r="D278" s="42">
        <f>VLOOKUP(Tabela13[[#This Row],[Destino]],Tabela1[],2,FALSE)</f>
        <v>55</v>
      </c>
      <c r="E278" s="51" t="s">
        <v>397</v>
      </c>
      <c r="F278" s="52" t="s">
        <v>910</v>
      </c>
      <c r="H278" s="42" t="str">
        <f t="shared" si="8"/>
        <v>Colégio Terra Santa_Palácio Itaboraí</v>
      </c>
      <c r="I278" s="42">
        <f t="shared" si="9"/>
        <v>1</v>
      </c>
      <c r="J278" s="53">
        <f>COUNTIFS(H$2:H278, H278)-1</f>
        <v>0</v>
      </c>
      <c r="K278" s="42" cm="1">
        <f t="array" ref="K278">IF(I278=1,
    J278,
    MAX(IF(H:H=H278, J:J)) - J278
)</f>
        <v>0</v>
      </c>
    </row>
    <row r="279" spans="1:11" x14ac:dyDescent="0.2">
      <c r="A279" s="43" t="s">
        <v>28</v>
      </c>
      <c r="B279" s="44" t="s">
        <v>103</v>
      </c>
      <c r="C279" s="42">
        <f>VLOOKUP(Tabela13[[#This Row],[Origem]],Tabela1[],2,FALSE)</f>
        <v>28</v>
      </c>
      <c r="D279" s="42">
        <f>VLOOKUP(Tabela13[[#This Row],[Destino]],Tabela1[],2,FALSE)</f>
        <v>103</v>
      </c>
      <c r="E279" s="51" t="s">
        <v>398</v>
      </c>
      <c r="F279" s="52" t="s">
        <v>911</v>
      </c>
      <c r="H279" s="42" t="str">
        <f t="shared" si="8"/>
        <v>Colégio Terra Santa_UPA Centro</v>
      </c>
      <c r="I279" s="42">
        <f t="shared" si="9"/>
        <v>1</v>
      </c>
      <c r="J279" s="53">
        <f>COUNTIFS(H$2:H279, H279)-1</f>
        <v>0</v>
      </c>
      <c r="K279" s="42" cm="1">
        <f t="array" ref="K279">IF(I279=1,
    J279,
    MAX(IF(H:H=H279, J:J)) - J279
)</f>
        <v>0</v>
      </c>
    </row>
    <row r="280" spans="1:11" x14ac:dyDescent="0.2">
      <c r="A280" s="43" t="s">
        <v>28</v>
      </c>
      <c r="B280" s="44" t="s">
        <v>103</v>
      </c>
      <c r="C280" s="42">
        <f>VLOOKUP(Tabela13[[#This Row],[Origem]],Tabela1[],2,FALSE)</f>
        <v>28</v>
      </c>
      <c r="D280" s="42">
        <f>VLOOKUP(Tabela13[[#This Row],[Destino]],Tabela1[],2,FALSE)</f>
        <v>103</v>
      </c>
      <c r="E280" s="51" t="s">
        <v>399</v>
      </c>
      <c r="F280" s="52" t="s">
        <v>912</v>
      </c>
      <c r="H280" s="42" t="str">
        <f t="shared" si="8"/>
        <v>Colégio Terra Santa_UPA Centro</v>
      </c>
      <c r="I280" s="42">
        <f t="shared" si="9"/>
        <v>1</v>
      </c>
      <c r="J280" s="53">
        <f>COUNTIFS(H$2:H280, H280)-1</f>
        <v>1</v>
      </c>
      <c r="K280" s="42" cm="1">
        <f t="array" ref="K280">IF(I280=1,
    J280,
    MAX(IF(H:H=H280, J:J)) - J280
)</f>
        <v>1</v>
      </c>
    </row>
    <row r="281" spans="1:11" x14ac:dyDescent="0.2">
      <c r="A281" s="43" t="s">
        <v>28</v>
      </c>
      <c r="B281" s="44" t="s">
        <v>103</v>
      </c>
      <c r="C281" s="42">
        <f>VLOOKUP(Tabela13[[#This Row],[Origem]],Tabela1[],2,FALSE)</f>
        <v>28</v>
      </c>
      <c r="D281" s="42">
        <f>VLOOKUP(Tabela13[[#This Row],[Destino]],Tabela1[],2,FALSE)</f>
        <v>103</v>
      </c>
      <c r="E281" s="51" t="s">
        <v>400</v>
      </c>
      <c r="F281" s="52" t="s">
        <v>913</v>
      </c>
      <c r="H281" s="42" t="str">
        <f t="shared" si="8"/>
        <v>Colégio Terra Santa_UPA Centro</v>
      </c>
      <c r="I281" s="42">
        <f t="shared" si="9"/>
        <v>1</v>
      </c>
      <c r="J281" s="53">
        <f>COUNTIFS(H$2:H281, H281)-1</f>
        <v>2</v>
      </c>
      <c r="K281" s="42" cm="1">
        <f t="array" ref="K281">IF(I281=1,
    J281,
    MAX(IF(H:H=H281, J:J)) - J281
)</f>
        <v>2</v>
      </c>
    </row>
    <row r="282" spans="1:11" hidden="1" x14ac:dyDescent="0.2">
      <c r="A282" s="43" t="s">
        <v>29</v>
      </c>
      <c r="B282" s="44" t="s">
        <v>45</v>
      </c>
      <c r="C282" s="42">
        <f>VLOOKUP(Tabela13[[#This Row],[Origem]],Tabela1[],2,FALSE)</f>
        <v>29</v>
      </c>
      <c r="D282" s="42">
        <f>VLOOKUP(Tabela13[[#This Row],[Destino]],Tabela1[],2,FALSE)</f>
        <v>45</v>
      </c>
      <c r="E282" s="51" t="s">
        <v>188</v>
      </c>
      <c r="F282" s="52" t="s">
        <v>189</v>
      </c>
      <c r="H282" s="42" t="str">
        <f t="shared" si="8"/>
        <v>Correio_Loja Americanas</v>
      </c>
      <c r="I282" s="42">
        <f t="shared" si="9"/>
        <v>1</v>
      </c>
      <c r="J282" s="53">
        <f>COUNTIFS(H$2:H282, H282)-1</f>
        <v>0</v>
      </c>
      <c r="K282" s="42" cm="1">
        <f t="array" ref="K282">IF(I282=1,
    J282,
    MAX(IF(H:H=H282, J:J)) - J282
)</f>
        <v>0</v>
      </c>
    </row>
    <row r="283" spans="1:11" hidden="1" x14ac:dyDescent="0.2">
      <c r="A283" s="43" t="s">
        <v>30</v>
      </c>
      <c r="B283" s="44" t="s">
        <v>60</v>
      </c>
      <c r="C283" s="42">
        <f>VLOOKUP(Tabela13[[#This Row],[Origem]],Tabela1[],2,FALSE)</f>
        <v>30</v>
      </c>
      <c r="D283" s="42">
        <f>VLOOKUP(Tabela13[[#This Row],[Destino]],Tabela1[],2,FALSE)</f>
        <v>60</v>
      </c>
      <c r="E283" s="51" t="s">
        <v>188</v>
      </c>
      <c r="F283" s="52" t="s">
        <v>189</v>
      </c>
      <c r="H283" s="42" t="str">
        <f t="shared" si="8"/>
        <v>Cruz Vermelha_Ponte Mosela</v>
      </c>
      <c r="I283" s="42">
        <f t="shared" si="9"/>
        <v>1</v>
      </c>
      <c r="J283" s="53">
        <f>COUNTIFS(H$2:H283, H283)-1</f>
        <v>0</v>
      </c>
      <c r="K283" s="42" cm="1">
        <f t="array" ref="K283">IF(I283=1,
    J283,
    MAX(IF(H:H=H283, J:J)) - J283
)</f>
        <v>0</v>
      </c>
    </row>
    <row r="284" spans="1:11" x14ac:dyDescent="0.2">
      <c r="A284" s="43" t="s">
        <v>30</v>
      </c>
      <c r="B284" s="44" t="s">
        <v>102</v>
      </c>
      <c r="C284" s="42">
        <f>VLOOKUP(Tabela13[[#This Row],[Origem]],Tabela1[],2,FALSE)</f>
        <v>30</v>
      </c>
      <c r="D284" s="42">
        <f>VLOOKUP(Tabela13[[#This Row],[Destino]],Tabela1[],2,FALSE)</f>
        <v>102</v>
      </c>
      <c r="E284" s="51" t="s">
        <v>401</v>
      </c>
      <c r="F284" s="52" t="s">
        <v>914</v>
      </c>
      <c r="H284" s="42" t="str">
        <f t="shared" si="8"/>
        <v>Cruz Vermelha_Universidade Estácio</v>
      </c>
      <c r="I284" s="42">
        <f t="shared" si="9"/>
        <v>1</v>
      </c>
      <c r="J284" s="53">
        <f>COUNTIFS(H$2:H284, H284)-1</f>
        <v>0</v>
      </c>
      <c r="K284" s="42" cm="1">
        <f t="array" ref="K284">IF(I284=1,
    J284,
    MAX(IF(H:H=H284, J:J)) - J284
)</f>
        <v>0</v>
      </c>
    </row>
    <row r="285" spans="1:11" x14ac:dyDescent="0.2">
      <c r="A285" s="43" t="s">
        <v>30</v>
      </c>
      <c r="B285" s="44" t="s">
        <v>102</v>
      </c>
      <c r="C285" s="42">
        <f>VLOOKUP(Tabela13[[#This Row],[Origem]],Tabela1[],2,FALSE)</f>
        <v>30</v>
      </c>
      <c r="D285" s="42">
        <f>VLOOKUP(Tabela13[[#This Row],[Destino]],Tabela1[],2,FALSE)</f>
        <v>102</v>
      </c>
      <c r="E285" s="51" t="s">
        <v>402</v>
      </c>
      <c r="F285" s="52" t="s">
        <v>915</v>
      </c>
      <c r="H285" s="42" t="str">
        <f t="shared" si="8"/>
        <v>Cruz Vermelha_Universidade Estácio</v>
      </c>
      <c r="I285" s="42">
        <f t="shared" si="9"/>
        <v>1</v>
      </c>
      <c r="J285" s="53">
        <f>COUNTIFS(H$2:H285, H285)-1</f>
        <v>1</v>
      </c>
      <c r="K285" s="42" cm="1">
        <f t="array" ref="K285">IF(I285=1,
    J285,
    MAX(IF(H:H=H285, J:J)) - J285
)</f>
        <v>1</v>
      </c>
    </row>
    <row r="286" spans="1:11" x14ac:dyDescent="0.2">
      <c r="A286" s="43" t="s">
        <v>31</v>
      </c>
      <c r="B286" s="44" t="s">
        <v>103</v>
      </c>
      <c r="C286" s="42">
        <f>VLOOKUP(Tabela13[[#This Row],[Origem]],Tabela1[],2,FALSE)</f>
        <v>31</v>
      </c>
      <c r="D286" s="42">
        <f>VLOOKUP(Tabela13[[#This Row],[Destino]],Tabela1[],2,FALSE)</f>
        <v>103</v>
      </c>
      <c r="E286" s="51" t="s">
        <v>403</v>
      </c>
      <c r="F286" s="52" t="s">
        <v>916</v>
      </c>
      <c r="H286" s="42" t="str">
        <f t="shared" si="8"/>
        <v>Duas Pontes_UPA Centro</v>
      </c>
      <c r="I286" s="42">
        <f t="shared" si="9"/>
        <v>1</v>
      </c>
      <c r="J286" s="53">
        <f>COUNTIFS(H$2:H286, H286)-1</f>
        <v>0</v>
      </c>
      <c r="K286" s="42" cm="1">
        <f t="array" ref="K286">IF(I286=1,
    J286,
    MAX(IF(H:H=H286, J:J)) - J286
)</f>
        <v>0</v>
      </c>
    </row>
    <row r="287" spans="1:11" x14ac:dyDescent="0.2">
      <c r="A287" s="43" t="s">
        <v>31</v>
      </c>
      <c r="B287" s="44" t="s">
        <v>103</v>
      </c>
      <c r="C287" s="42">
        <f>VLOOKUP(Tabela13[[#This Row],[Origem]],Tabela1[],2,FALSE)</f>
        <v>31</v>
      </c>
      <c r="D287" s="42">
        <f>VLOOKUP(Tabela13[[#This Row],[Destino]],Tabela1[],2,FALSE)</f>
        <v>103</v>
      </c>
      <c r="E287" s="51" t="s">
        <v>404</v>
      </c>
      <c r="F287" s="52" t="s">
        <v>917</v>
      </c>
      <c r="H287" s="42" t="str">
        <f t="shared" si="8"/>
        <v>Duas Pontes_UPA Centro</v>
      </c>
      <c r="I287" s="42">
        <f t="shared" si="9"/>
        <v>1</v>
      </c>
      <c r="J287" s="53">
        <f>COUNTIFS(H$2:H287, H287)-1</f>
        <v>1</v>
      </c>
      <c r="K287" s="42" cm="1">
        <f t="array" ref="K287">IF(I287=1,
    J287,
    MAX(IF(H:H=H287, J:J)) - J287
)</f>
        <v>1</v>
      </c>
    </row>
    <row r="288" spans="1:11" x14ac:dyDescent="0.2">
      <c r="A288" s="43" t="s">
        <v>31</v>
      </c>
      <c r="B288" s="44" t="s">
        <v>103</v>
      </c>
      <c r="C288" s="42">
        <f>VLOOKUP(Tabela13[[#This Row],[Origem]],Tabela1[],2,FALSE)</f>
        <v>31</v>
      </c>
      <c r="D288" s="42">
        <f>VLOOKUP(Tabela13[[#This Row],[Destino]],Tabela1[],2,FALSE)</f>
        <v>103</v>
      </c>
      <c r="E288" s="51" t="s">
        <v>405</v>
      </c>
      <c r="F288" s="52" t="s">
        <v>918</v>
      </c>
      <c r="H288" s="42" t="str">
        <f t="shared" si="8"/>
        <v>Duas Pontes_UPA Centro</v>
      </c>
      <c r="I288" s="42">
        <f t="shared" si="9"/>
        <v>1</v>
      </c>
      <c r="J288" s="53">
        <f>COUNTIFS(H$2:H288, H288)-1</f>
        <v>2</v>
      </c>
      <c r="K288" s="42" cm="1">
        <f t="array" ref="K288">IF(I288=1,
    J288,
    MAX(IF(H:H=H288, J:J)) - J288
)</f>
        <v>2</v>
      </c>
    </row>
    <row r="289" spans="1:11" x14ac:dyDescent="0.2">
      <c r="A289" s="43" t="s">
        <v>31</v>
      </c>
      <c r="B289" s="44" t="s">
        <v>103</v>
      </c>
      <c r="C289" s="42">
        <f>VLOOKUP(Tabela13[[#This Row],[Origem]],Tabela1[],2,FALSE)</f>
        <v>31</v>
      </c>
      <c r="D289" s="42">
        <f>VLOOKUP(Tabela13[[#This Row],[Destino]],Tabela1[],2,FALSE)</f>
        <v>103</v>
      </c>
      <c r="E289" s="51" t="s">
        <v>406</v>
      </c>
      <c r="F289" s="52" t="s">
        <v>919</v>
      </c>
      <c r="H289" s="42" t="str">
        <f t="shared" si="8"/>
        <v>Duas Pontes_UPA Centro</v>
      </c>
      <c r="I289" s="42">
        <f t="shared" si="9"/>
        <v>1</v>
      </c>
      <c r="J289" s="53">
        <f>COUNTIFS(H$2:H289, H289)-1</f>
        <v>3</v>
      </c>
      <c r="K289" s="42" cm="1">
        <f t="array" ref="K289">IF(I289=1,
    J289,
    MAX(IF(H:H=H289, J:J)) - J289
)</f>
        <v>3</v>
      </c>
    </row>
    <row r="290" spans="1:11" x14ac:dyDescent="0.2">
      <c r="A290" s="43" t="s">
        <v>31</v>
      </c>
      <c r="B290" s="44" t="s">
        <v>103</v>
      </c>
      <c r="C290" s="42">
        <f>VLOOKUP(Tabela13[[#This Row],[Origem]],Tabela1[],2,FALSE)</f>
        <v>31</v>
      </c>
      <c r="D290" s="42">
        <f>VLOOKUP(Tabela13[[#This Row],[Destino]],Tabela1[],2,FALSE)</f>
        <v>103</v>
      </c>
      <c r="E290" s="51" t="s">
        <v>407</v>
      </c>
      <c r="F290" s="52" t="s">
        <v>920</v>
      </c>
      <c r="H290" s="42" t="str">
        <f t="shared" si="8"/>
        <v>Duas Pontes_UPA Centro</v>
      </c>
      <c r="I290" s="42">
        <f t="shared" si="9"/>
        <v>1</v>
      </c>
      <c r="J290" s="53">
        <f>COUNTIFS(H$2:H290, H290)-1</f>
        <v>4</v>
      </c>
      <c r="K290" s="42" cm="1">
        <f t="array" ref="K290">IF(I290=1,
    J290,
    MAX(IF(H:H=H290, J:J)) - J290
)</f>
        <v>4</v>
      </c>
    </row>
    <row r="291" spans="1:11" x14ac:dyDescent="0.2">
      <c r="A291" s="43" t="s">
        <v>31</v>
      </c>
      <c r="B291" s="44" t="s">
        <v>68</v>
      </c>
      <c r="C291" s="42">
        <f>VLOOKUP(Tabela13[[#This Row],[Origem]],Tabela1[],2,FALSE)</f>
        <v>31</v>
      </c>
      <c r="D291" s="42">
        <f>VLOOKUP(Tabela13[[#This Row],[Destino]],Tabela1[],2,FALSE)</f>
        <v>68</v>
      </c>
      <c r="E291" s="51" t="s">
        <v>408</v>
      </c>
      <c r="F291" s="52" t="s">
        <v>921</v>
      </c>
      <c r="H291" s="42" t="str">
        <f t="shared" si="8"/>
        <v>Duas Pontes_Praça Pasteur</v>
      </c>
      <c r="I291" s="42">
        <f t="shared" si="9"/>
        <v>1</v>
      </c>
      <c r="J291" s="53">
        <f>COUNTIFS(H$2:H291, H291)-1</f>
        <v>0</v>
      </c>
      <c r="K291" s="42" cm="1">
        <f t="array" ref="K291">IF(I291=1,
    J291,
    MAX(IF(H:H=H291, J:J)) - J291
)</f>
        <v>0</v>
      </c>
    </row>
    <row r="292" spans="1:11" x14ac:dyDescent="0.2">
      <c r="A292" s="43" t="s">
        <v>31</v>
      </c>
      <c r="B292" s="44" t="s">
        <v>68</v>
      </c>
      <c r="C292" s="42">
        <f>VLOOKUP(Tabela13[[#This Row],[Origem]],Tabela1[],2,FALSE)</f>
        <v>31</v>
      </c>
      <c r="D292" s="42">
        <f>VLOOKUP(Tabela13[[#This Row],[Destino]],Tabela1[],2,FALSE)</f>
        <v>68</v>
      </c>
      <c r="E292" s="51" t="s">
        <v>409</v>
      </c>
      <c r="F292" s="52" t="s">
        <v>922</v>
      </c>
      <c r="H292" s="42" t="str">
        <f t="shared" si="8"/>
        <v>Duas Pontes_Praça Pasteur</v>
      </c>
      <c r="I292" s="42">
        <f t="shared" si="9"/>
        <v>1</v>
      </c>
      <c r="J292" s="53">
        <f>COUNTIFS(H$2:H292, H292)-1</f>
        <v>1</v>
      </c>
      <c r="K292" s="42" cm="1">
        <f t="array" ref="K292">IF(I292=1,
    J292,
    MAX(IF(H:H=H292, J:J)) - J292
)</f>
        <v>1</v>
      </c>
    </row>
    <row r="293" spans="1:11" x14ac:dyDescent="0.2">
      <c r="A293" s="43" t="s">
        <v>31</v>
      </c>
      <c r="B293" s="44" t="s">
        <v>68</v>
      </c>
      <c r="C293" s="42">
        <f>VLOOKUP(Tabela13[[#This Row],[Origem]],Tabela1[],2,FALSE)</f>
        <v>31</v>
      </c>
      <c r="D293" s="42">
        <f>VLOOKUP(Tabela13[[#This Row],[Destino]],Tabela1[],2,FALSE)</f>
        <v>68</v>
      </c>
      <c r="E293" s="51" t="s">
        <v>410</v>
      </c>
      <c r="F293" s="52" t="s">
        <v>923</v>
      </c>
      <c r="H293" s="42" t="str">
        <f t="shared" si="8"/>
        <v>Duas Pontes_Praça Pasteur</v>
      </c>
      <c r="I293" s="42">
        <f t="shared" si="9"/>
        <v>1</v>
      </c>
      <c r="J293" s="53">
        <f>COUNTIFS(H$2:H293, H293)-1</f>
        <v>2</v>
      </c>
      <c r="K293" s="42" cm="1">
        <f t="array" ref="K293">IF(I293=1,
    J293,
    MAX(IF(H:H=H293, J:J)) - J293
)</f>
        <v>2</v>
      </c>
    </row>
    <row r="294" spans="1:11" x14ac:dyDescent="0.2">
      <c r="A294" s="43" t="s">
        <v>31</v>
      </c>
      <c r="B294" s="44" t="s">
        <v>68</v>
      </c>
      <c r="C294" s="42">
        <f>VLOOKUP(Tabela13[[#This Row],[Origem]],Tabela1[],2,FALSE)</f>
        <v>31</v>
      </c>
      <c r="D294" s="42">
        <f>VLOOKUP(Tabela13[[#This Row],[Destino]],Tabela1[],2,FALSE)</f>
        <v>68</v>
      </c>
      <c r="E294" s="51" t="s">
        <v>411</v>
      </c>
      <c r="F294" s="52" t="s">
        <v>924</v>
      </c>
      <c r="H294" s="42" t="str">
        <f t="shared" si="8"/>
        <v>Duas Pontes_Praça Pasteur</v>
      </c>
      <c r="I294" s="42">
        <f t="shared" si="9"/>
        <v>1</v>
      </c>
      <c r="J294" s="53">
        <f>COUNTIFS(H$2:H294, H294)-1</f>
        <v>3</v>
      </c>
      <c r="K294" s="42" cm="1">
        <f t="array" ref="K294">IF(I294=1,
    J294,
    MAX(IF(H:H=H294, J:J)) - J294
)</f>
        <v>3</v>
      </c>
    </row>
    <row r="295" spans="1:11" x14ac:dyDescent="0.2">
      <c r="A295" s="43" t="s">
        <v>31</v>
      </c>
      <c r="B295" s="44" t="s">
        <v>68</v>
      </c>
      <c r="C295" s="42">
        <f>VLOOKUP(Tabela13[[#This Row],[Origem]],Tabela1[],2,FALSE)</f>
        <v>31</v>
      </c>
      <c r="D295" s="42">
        <f>VLOOKUP(Tabela13[[#This Row],[Destino]],Tabela1[],2,FALSE)</f>
        <v>68</v>
      </c>
      <c r="E295" s="51" t="s">
        <v>412</v>
      </c>
      <c r="F295" s="52" t="s">
        <v>913</v>
      </c>
      <c r="H295" s="42" t="str">
        <f t="shared" si="8"/>
        <v>Duas Pontes_Praça Pasteur</v>
      </c>
      <c r="I295" s="42">
        <f t="shared" si="9"/>
        <v>1</v>
      </c>
      <c r="J295" s="53">
        <f>COUNTIFS(H$2:H295, H295)-1</f>
        <v>4</v>
      </c>
      <c r="K295" s="42" cm="1">
        <f t="array" ref="K295">IF(I295=1,
    J295,
    MAX(IF(H:H=H295, J:J)) - J295
)</f>
        <v>4</v>
      </c>
    </row>
    <row r="296" spans="1:11" x14ac:dyDescent="0.2">
      <c r="A296" s="43" t="s">
        <v>31</v>
      </c>
      <c r="B296" s="44" t="s">
        <v>68</v>
      </c>
      <c r="C296" s="42">
        <f>VLOOKUP(Tabela13[[#This Row],[Origem]],Tabela1[],2,FALSE)</f>
        <v>31</v>
      </c>
      <c r="D296" s="42">
        <f>VLOOKUP(Tabela13[[#This Row],[Destino]],Tabela1[],2,FALSE)</f>
        <v>68</v>
      </c>
      <c r="E296" s="51" t="s">
        <v>413</v>
      </c>
      <c r="F296" s="52" t="s">
        <v>925</v>
      </c>
      <c r="H296" s="42" t="str">
        <f t="shared" si="8"/>
        <v>Duas Pontes_Praça Pasteur</v>
      </c>
      <c r="I296" s="42">
        <f t="shared" si="9"/>
        <v>1</v>
      </c>
      <c r="J296" s="53">
        <f>COUNTIFS(H$2:H296, H296)-1</f>
        <v>5</v>
      </c>
      <c r="K296" s="42" cm="1">
        <f t="array" ref="K296">IF(I296=1,
    J296,
    MAX(IF(H:H=H296, J:J)) - J296
)</f>
        <v>5</v>
      </c>
    </row>
    <row r="297" spans="1:11" x14ac:dyDescent="0.2">
      <c r="A297" s="43" t="s">
        <v>31</v>
      </c>
      <c r="B297" s="44" t="s">
        <v>6</v>
      </c>
      <c r="C297" s="42">
        <f>VLOOKUP(Tabela13[[#This Row],[Origem]],Tabela1[],2,FALSE)</f>
        <v>31</v>
      </c>
      <c r="D297" s="42">
        <f>VLOOKUP(Tabela13[[#This Row],[Destino]],Tabela1[],2,FALSE)</f>
        <v>7</v>
      </c>
      <c r="E297" s="51" t="s">
        <v>209</v>
      </c>
      <c r="F297" s="52" t="s">
        <v>722</v>
      </c>
      <c r="H297" s="42" t="str">
        <f t="shared" si="8"/>
        <v>Avenida Portugal_Duas Pontes</v>
      </c>
      <c r="I297" s="42">
        <f t="shared" si="9"/>
        <v>-1</v>
      </c>
      <c r="J297" s="53">
        <f>COUNTIFS(H$2:H297, H297)-1</f>
        <v>5</v>
      </c>
      <c r="K297" s="42" cm="1">
        <f t="array" ref="K297">IF(I297=1,
    J297,
    MAX(IF(H:H=H297, J:J)) - J297
)</f>
        <v>4</v>
      </c>
    </row>
    <row r="298" spans="1:11" x14ac:dyDescent="0.2">
      <c r="A298" s="43" t="s">
        <v>31</v>
      </c>
      <c r="B298" s="44" t="s">
        <v>6</v>
      </c>
      <c r="C298" s="42">
        <f>VLOOKUP(Tabela13[[#This Row],[Origem]],Tabela1[],2,FALSE)</f>
        <v>31</v>
      </c>
      <c r="D298" s="42">
        <f>VLOOKUP(Tabela13[[#This Row],[Destino]],Tabela1[],2,FALSE)</f>
        <v>7</v>
      </c>
      <c r="E298" s="51" t="s">
        <v>210</v>
      </c>
      <c r="F298" s="52" t="s">
        <v>723</v>
      </c>
      <c r="H298" s="42" t="str">
        <f t="shared" si="8"/>
        <v>Avenida Portugal_Duas Pontes</v>
      </c>
      <c r="I298" s="42">
        <f t="shared" si="9"/>
        <v>-1</v>
      </c>
      <c r="J298" s="53">
        <f>COUNTIFS(H$2:H298, H298)-1</f>
        <v>6</v>
      </c>
      <c r="K298" s="42" cm="1">
        <f t="array" ref="K298">IF(I298=1,
    J298,
    MAX(IF(H:H=H298, J:J)) - J298
)</f>
        <v>3</v>
      </c>
    </row>
    <row r="299" spans="1:11" x14ac:dyDescent="0.2">
      <c r="A299" s="43" t="s">
        <v>31</v>
      </c>
      <c r="B299" s="44" t="s">
        <v>6</v>
      </c>
      <c r="C299" s="42">
        <f>VLOOKUP(Tabela13[[#This Row],[Origem]],Tabela1[],2,FALSE)</f>
        <v>31</v>
      </c>
      <c r="D299" s="42">
        <f>VLOOKUP(Tabela13[[#This Row],[Destino]],Tabela1[],2,FALSE)</f>
        <v>7</v>
      </c>
      <c r="E299" s="51" t="s">
        <v>211</v>
      </c>
      <c r="F299" s="52" t="s">
        <v>724</v>
      </c>
      <c r="H299" s="42" t="str">
        <f t="shared" si="8"/>
        <v>Avenida Portugal_Duas Pontes</v>
      </c>
      <c r="I299" s="42">
        <f t="shared" si="9"/>
        <v>-1</v>
      </c>
      <c r="J299" s="53">
        <f>COUNTIFS(H$2:H299, H299)-1</f>
        <v>7</v>
      </c>
      <c r="K299" s="42" cm="1">
        <f t="array" ref="K299">IF(I299=1,
    J299,
    MAX(IF(H:H=H299, J:J)) - J299
)</f>
        <v>2</v>
      </c>
    </row>
    <row r="300" spans="1:11" x14ac:dyDescent="0.2">
      <c r="A300" s="43" t="s">
        <v>31</v>
      </c>
      <c r="B300" s="44" t="s">
        <v>6</v>
      </c>
      <c r="C300" s="42">
        <f>VLOOKUP(Tabela13[[#This Row],[Origem]],Tabela1[],2,FALSE)</f>
        <v>31</v>
      </c>
      <c r="D300" s="42">
        <f>VLOOKUP(Tabela13[[#This Row],[Destino]],Tabela1[],2,FALSE)</f>
        <v>7</v>
      </c>
      <c r="E300" s="51" t="s">
        <v>212</v>
      </c>
      <c r="F300" s="52" t="s">
        <v>725</v>
      </c>
      <c r="H300" s="42" t="str">
        <f t="shared" si="8"/>
        <v>Avenida Portugal_Duas Pontes</v>
      </c>
      <c r="I300" s="42">
        <f t="shared" si="9"/>
        <v>-1</v>
      </c>
      <c r="J300" s="53">
        <f>COUNTIFS(H$2:H300, H300)-1</f>
        <v>8</v>
      </c>
      <c r="K300" s="42" cm="1">
        <f t="array" ref="K300">IF(I300=1,
    J300,
    MAX(IF(H:H=H300, J:J)) - J300
)</f>
        <v>1</v>
      </c>
    </row>
    <row r="301" spans="1:11" x14ac:dyDescent="0.2">
      <c r="A301" s="43" t="s">
        <v>31</v>
      </c>
      <c r="B301" s="44" t="s">
        <v>6</v>
      </c>
      <c r="C301" s="42">
        <f>VLOOKUP(Tabela13[[#This Row],[Origem]],Tabela1[],2,FALSE)</f>
        <v>31</v>
      </c>
      <c r="D301" s="42">
        <f>VLOOKUP(Tabela13[[#This Row],[Destino]],Tabela1[],2,FALSE)</f>
        <v>7</v>
      </c>
      <c r="E301" s="51" t="s">
        <v>213</v>
      </c>
      <c r="F301" s="52" t="s">
        <v>726</v>
      </c>
      <c r="H301" s="42" t="str">
        <f t="shared" si="8"/>
        <v>Avenida Portugal_Duas Pontes</v>
      </c>
      <c r="I301" s="42">
        <f t="shared" si="9"/>
        <v>-1</v>
      </c>
      <c r="J301" s="53">
        <f>COUNTIFS(H$2:H301, H301)-1</f>
        <v>9</v>
      </c>
      <c r="K301" s="42" cm="1">
        <f t="array" ref="K301">IF(I301=1,
    J301,
    MAX(IF(H:H=H301, J:J)) - J301
)</f>
        <v>0</v>
      </c>
    </row>
    <row r="302" spans="1:11" x14ac:dyDescent="0.2">
      <c r="A302" s="43" t="s">
        <v>31</v>
      </c>
      <c r="B302" s="44" t="s">
        <v>107</v>
      </c>
      <c r="C302" s="42">
        <f>VLOOKUP(Tabela13[[#This Row],[Origem]],Tabela1[],2,FALSE)</f>
        <v>31</v>
      </c>
      <c r="D302" s="42">
        <f>VLOOKUP(Tabela13[[#This Row],[Destino]],Tabela1[],2,FALSE)</f>
        <v>107</v>
      </c>
      <c r="E302" s="51" t="s">
        <v>414</v>
      </c>
      <c r="F302" s="52" t="s">
        <v>926</v>
      </c>
      <c r="H302" s="42" t="str">
        <f t="shared" si="8"/>
        <v>Duas Pontes_Volkswagen</v>
      </c>
      <c r="I302" s="42">
        <f t="shared" si="9"/>
        <v>1</v>
      </c>
      <c r="J302" s="53">
        <f>COUNTIFS(H$2:H302, H302)-1</f>
        <v>0</v>
      </c>
      <c r="K302" s="42" cm="1">
        <f t="array" ref="K302">IF(I302=1,
    J302,
    MAX(IF(H:H=H302, J:J)) - J302
)</f>
        <v>0</v>
      </c>
    </row>
    <row r="303" spans="1:11" x14ac:dyDescent="0.2">
      <c r="A303" s="43" t="s">
        <v>31</v>
      </c>
      <c r="B303" s="44" t="s">
        <v>107</v>
      </c>
      <c r="C303" s="42">
        <f>VLOOKUP(Tabela13[[#This Row],[Origem]],Tabela1[],2,FALSE)</f>
        <v>31</v>
      </c>
      <c r="D303" s="42">
        <f>VLOOKUP(Tabela13[[#This Row],[Destino]],Tabela1[],2,FALSE)</f>
        <v>107</v>
      </c>
      <c r="E303" s="51" t="s">
        <v>415</v>
      </c>
      <c r="F303" s="52" t="s">
        <v>927</v>
      </c>
      <c r="H303" s="42" t="str">
        <f t="shared" si="8"/>
        <v>Duas Pontes_Volkswagen</v>
      </c>
      <c r="I303" s="42">
        <f t="shared" si="9"/>
        <v>1</v>
      </c>
      <c r="J303" s="53">
        <f>COUNTIFS(H$2:H303, H303)-1</f>
        <v>1</v>
      </c>
      <c r="K303" s="42" cm="1">
        <f t="array" ref="K303">IF(I303=1,
    J303,
    MAX(IF(H:H=H303, J:J)) - J303
)</f>
        <v>1</v>
      </c>
    </row>
    <row r="304" spans="1:11" x14ac:dyDescent="0.2">
      <c r="A304" s="43" t="s">
        <v>31</v>
      </c>
      <c r="B304" s="44" t="s">
        <v>107</v>
      </c>
      <c r="C304" s="42">
        <f>VLOOKUP(Tabela13[[#This Row],[Origem]],Tabela1[],2,FALSE)</f>
        <v>31</v>
      </c>
      <c r="D304" s="42">
        <f>VLOOKUP(Tabela13[[#This Row],[Destino]],Tabela1[],2,FALSE)</f>
        <v>107</v>
      </c>
      <c r="E304" s="51" t="s">
        <v>416</v>
      </c>
      <c r="F304" s="52" t="s">
        <v>928</v>
      </c>
      <c r="H304" s="42" t="str">
        <f t="shared" si="8"/>
        <v>Duas Pontes_Volkswagen</v>
      </c>
      <c r="I304" s="42">
        <f t="shared" si="9"/>
        <v>1</v>
      </c>
      <c r="J304" s="53">
        <f>COUNTIFS(H$2:H304, H304)-1</f>
        <v>2</v>
      </c>
      <c r="K304" s="42" cm="1">
        <f t="array" ref="K304">IF(I304=1,
    J304,
    MAX(IF(H:H=H304, J:J)) - J304
)</f>
        <v>2</v>
      </c>
    </row>
    <row r="305" spans="1:11" x14ac:dyDescent="0.2">
      <c r="A305" s="43" t="s">
        <v>31</v>
      </c>
      <c r="B305" s="44" t="s">
        <v>107</v>
      </c>
      <c r="C305" s="42">
        <f>VLOOKUP(Tabela13[[#This Row],[Origem]],Tabela1[],2,FALSE)</f>
        <v>31</v>
      </c>
      <c r="D305" s="42">
        <f>VLOOKUP(Tabela13[[#This Row],[Destino]],Tabela1[],2,FALSE)</f>
        <v>107</v>
      </c>
      <c r="E305" s="51" t="s">
        <v>417</v>
      </c>
      <c r="F305" s="52" t="s">
        <v>929</v>
      </c>
      <c r="H305" s="42" t="str">
        <f t="shared" si="8"/>
        <v>Duas Pontes_Volkswagen</v>
      </c>
      <c r="I305" s="42">
        <f t="shared" si="9"/>
        <v>1</v>
      </c>
      <c r="J305" s="53">
        <f>COUNTIFS(H$2:H305, H305)-1</f>
        <v>3</v>
      </c>
      <c r="K305" s="42" cm="1">
        <f t="array" ref="K305">IF(I305=1,
    J305,
    MAX(IF(H:H=H305, J:J)) - J305
)</f>
        <v>3</v>
      </c>
    </row>
    <row r="306" spans="1:11" x14ac:dyDescent="0.2">
      <c r="A306" s="43" t="s">
        <v>31</v>
      </c>
      <c r="B306" s="44" t="s">
        <v>107</v>
      </c>
      <c r="C306" s="42">
        <f>VLOOKUP(Tabela13[[#This Row],[Origem]],Tabela1[],2,FALSE)</f>
        <v>31</v>
      </c>
      <c r="D306" s="42">
        <f>VLOOKUP(Tabela13[[#This Row],[Destino]],Tabela1[],2,FALSE)</f>
        <v>107</v>
      </c>
      <c r="E306" s="51" t="s">
        <v>418</v>
      </c>
      <c r="F306" s="52" t="s">
        <v>930</v>
      </c>
      <c r="H306" s="42" t="str">
        <f t="shared" si="8"/>
        <v>Duas Pontes_Volkswagen</v>
      </c>
      <c r="I306" s="42">
        <f t="shared" si="9"/>
        <v>1</v>
      </c>
      <c r="J306" s="53">
        <f>COUNTIFS(H$2:H306, H306)-1</f>
        <v>4</v>
      </c>
      <c r="K306" s="42" cm="1">
        <f t="array" ref="K306">IF(I306=1,
    J306,
    MAX(IF(H:H=H306, J:J)) - J306
)</f>
        <v>4</v>
      </c>
    </row>
    <row r="307" spans="1:11" x14ac:dyDescent="0.2">
      <c r="A307" s="43" t="s">
        <v>31</v>
      </c>
      <c r="B307" s="44" t="s">
        <v>107</v>
      </c>
      <c r="C307" s="42">
        <f>VLOOKUP(Tabela13[[#This Row],[Origem]],Tabela1[],2,FALSE)</f>
        <v>31</v>
      </c>
      <c r="D307" s="42">
        <f>VLOOKUP(Tabela13[[#This Row],[Destino]],Tabela1[],2,FALSE)</f>
        <v>107</v>
      </c>
      <c r="E307" s="51" t="s">
        <v>419</v>
      </c>
      <c r="F307" s="52" t="s">
        <v>931</v>
      </c>
      <c r="H307" s="42" t="str">
        <f t="shared" si="8"/>
        <v>Duas Pontes_Volkswagen</v>
      </c>
      <c r="I307" s="42">
        <f t="shared" si="9"/>
        <v>1</v>
      </c>
      <c r="J307" s="53">
        <f>COUNTIFS(H$2:H307, H307)-1</f>
        <v>5</v>
      </c>
      <c r="K307" s="42" cm="1">
        <f t="array" ref="K307">IF(I307=1,
    J307,
    MAX(IF(H:H=H307, J:J)) - J307
)</f>
        <v>5</v>
      </c>
    </row>
    <row r="308" spans="1:11" x14ac:dyDescent="0.2">
      <c r="A308" s="43" t="s">
        <v>31</v>
      </c>
      <c r="B308" s="44" t="s">
        <v>107</v>
      </c>
      <c r="C308" s="42">
        <f>VLOOKUP(Tabela13[[#This Row],[Origem]],Tabela1[],2,FALSE)</f>
        <v>31</v>
      </c>
      <c r="D308" s="42">
        <f>VLOOKUP(Tabela13[[#This Row],[Destino]],Tabela1[],2,FALSE)</f>
        <v>107</v>
      </c>
      <c r="E308" s="51" t="s">
        <v>420</v>
      </c>
      <c r="F308" s="52" t="s">
        <v>932</v>
      </c>
      <c r="H308" s="42" t="str">
        <f t="shared" si="8"/>
        <v>Duas Pontes_Volkswagen</v>
      </c>
      <c r="I308" s="42">
        <f t="shared" si="9"/>
        <v>1</v>
      </c>
      <c r="J308" s="53">
        <f>COUNTIFS(H$2:H308, H308)-1</f>
        <v>6</v>
      </c>
      <c r="K308" s="42" cm="1">
        <f t="array" ref="K308">IF(I308=1,
    J308,
    MAX(IF(H:H=H308, J:J)) - J308
)</f>
        <v>6</v>
      </c>
    </row>
    <row r="309" spans="1:11" x14ac:dyDescent="0.2">
      <c r="A309" s="43" t="s">
        <v>31</v>
      </c>
      <c r="B309" s="44" t="s">
        <v>107</v>
      </c>
      <c r="C309" s="42">
        <f>VLOOKUP(Tabela13[[#This Row],[Origem]],Tabela1[],2,FALSE)</f>
        <v>31</v>
      </c>
      <c r="D309" s="42">
        <f>VLOOKUP(Tabela13[[#This Row],[Destino]],Tabela1[],2,FALSE)</f>
        <v>107</v>
      </c>
      <c r="E309" s="51" t="s">
        <v>421</v>
      </c>
      <c r="F309" s="52" t="s">
        <v>933</v>
      </c>
      <c r="H309" s="42" t="str">
        <f t="shared" si="8"/>
        <v>Duas Pontes_Volkswagen</v>
      </c>
      <c r="I309" s="42">
        <f t="shared" si="9"/>
        <v>1</v>
      </c>
      <c r="J309" s="53">
        <f>COUNTIFS(H$2:H309, H309)-1</f>
        <v>7</v>
      </c>
      <c r="K309" s="42" cm="1">
        <f t="array" ref="K309">IF(I309=1,
    J309,
    MAX(IF(H:H=H309, J:J)) - J309
)</f>
        <v>7</v>
      </c>
    </row>
    <row r="310" spans="1:11" x14ac:dyDescent="0.2">
      <c r="A310" s="43" t="s">
        <v>31</v>
      </c>
      <c r="B310" s="44" t="s">
        <v>107</v>
      </c>
      <c r="C310" s="42">
        <f>VLOOKUP(Tabela13[[#This Row],[Origem]],Tabela1[],2,FALSE)</f>
        <v>31</v>
      </c>
      <c r="D310" s="42">
        <f>VLOOKUP(Tabela13[[#This Row],[Destino]],Tabela1[],2,FALSE)</f>
        <v>107</v>
      </c>
      <c r="E310" s="51" t="s">
        <v>422</v>
      </c>
      <c r="F310" s="52" t="s">
        <v>934</v>
      </c>
      <c r="H310" s="42" t="str">
        <f t="shared" si="8"/>
        <v>Duas Pontes_Volkswagen</v>
      </c>
      <c r="I310" s="42">
        <f t="shared" si="9"/>
        <v>1</v>
      </c>
      <c r="J310" s="53">
        <f>COUNTIFS(H$2:H310, H310)-1</f>
        <v>8</v>
      </c>
      <c r="K310" s="42" cm="1">
        <f t="array" ref="K310">IF(I310=1,
    J310,
    MAX(IF(H:H=H310, J:J)) - J310
)</f>
        <v>8</v>
      </c>
    </row>
    <row r="311" spans="1:11" x14ac:dyDescent="0.2">
      <c r="A311" s="43" t="s">
        <v>31</v>
      </c>
      <c r="B311" s="44" t="s">
        <v>107</v>
      </c>
      <c r="C311" s="42">
        <f>VLOOKUP(Tabela13[[#This Row],[Origem]],Tabela1[],2,FALSE)</f>
        <v>31</v>
      </c>
      <c r="D311" s="42">
        <f>VLOOKUP(Tabela13[[#This Row],[Destino]],Tabela1[],2,FALSE)</f>
        <v>107</v>
      </c>
      <c r="E311" s="51" t="s">
        <v>423</v>
      </c>
      <c r="F311" s="52" t="s">
        <v>935</v>
      </c>
      <c r="H311" s="42" t="str">
        <f t="shared" si="8"/>
        <v>Duas Pontes_Volkswagen</v>
      </c>
      <c r="I311" s="42">
        <f t="shared" si="9"/>
        <v>1</v>
      </c>
      <c r="J311" s="53">
        <f>COUNTIFS(H$2:H311, H311)-1</f>
        <v>9</v>
      </c>
      <c r="K311" s="42" cm="1">
        <f t="array" ref="K311">IF(I311=1,
    J311,
    MAX(IF(H:H=H311, J:J)) - J311
)</f>
        <v>9</v>
      </c>
    </row>
    <row r="312" spans="1:11" x14ac:dyDescent="0.2">
      <c r="A312" s="43" t="s">
        <v>31</v>
      </c>
      <c r="B312" s="44" t="s">
        <v>107</v>
      </c>
      <c r="C312" s="42">
        <f>VLOOKUP(Tabela13[[#This Row],[Origem]],Tabela1[],2,FALSE)</f>
        <v>31</v>
      </c>
      <c r="D312" s="42">
        <f>VLOOKUP(Tabela13[[#This Row],[Destino]],Tabela1[],2,FALSE)</f>
        <v>107</v>
      </c>
      <c r="E312" s="51" t="s">
        <v>424</v>
      </c>
      <c r="F312" s="52" t="s">
        <v>936</v>
      </c>
      <c r="H312" s="42" t="str">
        <f t="shared" si="8"/>
        <v>Duas Pontes_Volkswagen</v>
      </c>
      <c r="I312" s="42">
        <f t="shared" si="9"/>
        <v>1</v>
      </c>
      <c r="J312" s="53">
        <f>COUNTIFS(H$2:H312, H312)-1</f>
        <v>10</v>
      </c>
      <c r="K312" s="42" cm="1">
        <f t="array" ref="K312">IF(I312=1,
    J312,
    MAX(IF(H:H=H312, J:J)) - J312
)</f>
        <v>10</v>
      </c>
    </row>
    <row r="313" spans="1:11" x14ac:dyDescent="0.2">
      <c r="A313" s="43" t="s">
        <v>32</v>
      </c>
      <c r="B313" s="44" t="s">
        <v>15</v>
      </c>
      <c r="C313" s="42">
        <f>VLOOKUP(Tabela13[[#This Row],[Origem]],Tabela1[],2,FALSE)</f>
        <v>32</v>
      </c>
      <c r="D313" s="42">
        <f>VLOOKUP(Tabela13[[#This Row],[Destino]],Tabela1[],2,FALSE)</f>
        <v>16</v>
      </c>
      <c r="E313" s="51" t="s">
        <v>305</v>
      </c>
      <c r="F313" s="52" t="s">
        <v>819</v>
      </c>
      <c r="H313" s="42" t="str">
        <f t="shared" si="8"/>
        <v>Bar Bárbaros_FAETERJ</v>
      </c>
      <c r="I313" s="42">
        <f t="shared" si="9"/>
        <v>-1</v>
      </c>
      <c r="J313" s="53">
        <f>COUNTIFS(H$2:H313, H313)-1</f>
        <v>2</v>
      </c>
      <c r="K313" s="42" cm="1">
        <f t="array" ref="K313">IF(I313=1,
    J313,
    MAX(IF(H:H=H313, J:J)) - J313
)</f>
        <v>1</v>
      </c>
    </row>
    <row r="314" spans="1:11" x14ac:dyDescent="0.2">
      <c r="A314" s="43" t="s">
        <v>32</v>
      </c>
      <c r="B314" s="44" t="s">
        <v>15</v>
      </c>
      <c r="C314" s="42">
        <f>VLOOKUP(Tabela13[[#This Row],[Origem]],Tabela1[],2,FALSE)</f>
        <v>32</v>
      </c>
      <c r="D314" s="42">
        <f>VLOOKUP(Tabela13[[#This Row],[Destino]],Tabela1[],2,FALSE)</f>
        <v>16</v>
      </c>
      <c r="E314" s="51" t="s">
        <v>306</v>
      </c>
      <c r="F314" s="52" t="s">
        <v>820</v>
      </c>
      <c r="H314" s="42" t="str">
        <f t="shared" si="8"/>
        <v>Bar Bárbaros_FAETERJ</v>
      </c>
      <c r="I314" s="42">
        <f t="shared" si="9"/>
        <v>-1</v>
      </c>
      <c r="J314" s="53">
        <f>COUNTIFS(H$2:H314, H314)-1</f>
        <v>3</v>
      </c>
      <c r="K314" s="42" cm="1">
        <f t="array" ref="K314">IF(I314=1,
    J314,
    MAX(IF(H:H=H314, J:J)) - J314
)</f>
        <v>0</v>
      </c>
    </row>
    <row r="315" spans="1:11" x14ac:dyDescent="0.2">
      <c r="A315" s="43" t="s">
        <v>32</v>
      </c>
      <c r="B315" s="44" t="s">
        <v>56</v>
      </c>
      <c r="C315" s="42">
        <f>VLOOKUP(Tabela13[[#This Row],[Origem]],Tabela1[],2,FALSE)</f>
        <v>32</v>
      </c>
      <c r="D315" s="42">
        <f>VLOOKUP(Tabela13[[#This Row],[Destino]],Tabela1[],2,FALSE)</f>
        <v>56</v>
      </c>
      <c r="E315" s="51" t="s">
        <v>425</v>
      </c>
      <c r="F315" s="52" t="s">
        <v>937</v>
      </c>
      <c r="H315" s="42" t="str">
        <f t="shared" si="8"/>
        <v>FAETERJ_Palácio Quitandinha</v>
      </c>
      <c r="I315" s="42">
        <f t="shared" si="9"/>
        <v>1</v>
      </c>
      <c r="J315" s="53">
        <f>COUNTIFS(H$2:H315, H315)-1</f>
        <v>0</v>
      </c>
      <c r="K315" s="42" cm="1">
        <f t="array" ref="K315">IF(I315=1,
    J315,
    MAX(IF(H:H=H315, J:J)) - J315
)</f>
        <v>0</v>
      </c>
    </row>
    <row r="316" spans="1:11" x14ac:dyDescent="0.2">
      <c r="A316" s="43" t="s">
        <v>32</v>
      </c>
      <c r="B316" s="44" t="s">
        <v>56</v>
      </c>
      <c r="C316" s="42">
        <f>VLOOKUP(Tabela13[[#This Row],[Origem]],Tabela1[],2,FALSE)</f>
        <v>32</v>
      </c>
      <c r="D316" s="42">
        <f>VLOOKUP(Tabela13[[#This Row],[Destino]],Tabela1[],2,FALSE)</f>
        <v>56</v>
      </c>
      <c r="E316" s="51" t="s">
        <v>426</v>
      </c>
      <c r="F316" s="52" t="s">
        <v>938</v>
      </c>
      <c r="H316" s="42" t="str">
        <f t="shared" si="8"/>
        <v>FAETERJ_Palácio Quitandinha</v>
      </c>
      <c r="I316" s="42">
        <f t="shared" si="9"/>
        <v>1</v>
      </c>
      <c r="J316" s="53">
        <f>COUNTIFS(H$2:H316, H316)-1</f>
        <v>1</v>
      </c>
      <c r="K316" s="42" cm="1">
        <f t="array" ref="K316">IF(I316=1,
    J316,
    MAX(IF(H:H=H316, J:J)) - J316
)</f>
        <v>1</v>
      </c>
    </row>
    <row r="317" spans="1:11" x14ac:dyDescent="0.2">
      <c r="A317" s="43" t="s">
        <v>32</v>
      </c>
      <c r="B317" s="44" t="s">
        <v>56</v>
      </c>
      <c r="C317" s="42">
        <f>VLOOKUP(Tabela13[[#This Row],[Origem]],Tabela1[],2,FALSE)</f>
        <v>32</v>
      </c>
      <c r="D317" s="42">
        <f>VLOOKUP(Tabela13[[#This Row],[Destino]],Tabela1[],2,FALSE)</f>
        <v>56</v>
      </c>
      <c r="E317" s="51" t="s">
        <v>427</v>
      </c>
      <c r="F317" s="52" t="s">
        <v>939</v>
      </c>
      <c r="H317" s="42" t="str">
        <f t="shared" si="8"/>
        <v>FAETERJ_Palácio Quitandinha</v>
      </c>
      <c r="I317" s="42">
        <f t="shared" si="9"/>
        <v>1</v>
      </c>
      <c r="J317" s="53">
        <f>COUNTIFS(H$2:H317, H317)-1</f>
        <v>2</v>
      </c>
      <c r="K317" s="42" cm="1">
        <f t="array" ref="K317">IF(I317=1,
    J317,
    MAX(IF(H:H=H317, J:J)) - J317
)</f>
        <v>2</v>
      </c>
    </row>
    <row r="318" spans="1:11" x14ac:dyDescent="0.2">
      <c r="A318" s="43" t="s">
        <v>32</v>
      </c>
      <c r="B318" s="44" t="s">
        <v>56</v>
      </c>
      <c r="C318" s="42">
        <f>VLOOKUP(Tabela13[[#This Row],[Origem]],Tabela1[],2,FALSE)</f>
        <v>32</v>
      </c>
      <c r="D318" s="42">
        <f>VLOOKUP(Tabela13[[#This Row],[Destino]],Tabela1[],2,FALSE)</f>
        <v>56</v>
      </c>
      <c r="E318" s="51" t="s">
        <v>428</v>
      </c>
      <c r="F318" s="52" t="s">
        <v>940</v>
      </c>
      <c r="H318" s="42" t="str">
        <f t="shared" si="8"/>
        <v>FAETERJ_Palácio Quitandinha</v>
      </c>
      <c r="I318" s="42">
        <f t="shared" si="9"/>
        <v>1</v>
      </c>
      <c r="J318" s="53">
        <f>COUNTIFS(H$2:H318, H318)-1</f>
        <v>3</v>
      </c>
      <c r="K318" s="42" cm="1">
        <f t="array" ref="K318">IF(I318=1,
    J318,
    MAX(IF(H:H=H318, J:J)) - J318
)</f>
        <v>3</v>
      </c>
    </row>
    <row r="319" spans="1:11" x14ac:dyDescent="0.2">
      <c r="A319" s="43" t="s">
        <v>32</v>
      </c>
      <c r="B319" s="44" t="s">
        <v>56</v>
      </c>
      <c r="C319" s="42">
        <f>VLOOKUP(Tabela13[[#This Row],[Origem]],Tabela1[],2,FALSE)</f>
        <v>32</v>
      </c>
      <c r="D319" s="42">
        <f>VLOOKUP(Tabela13[[#This Row],[Destino]],Tabela1[],2,FALSE)</f>
        <v>56</v>
      </c>
      <c r="E319" s="51" t="s">
        <v>429</v>
      </c>
      <c r="F319" s="52" t="s">
        <v>941</v>
      </c>
      <c r="H319" s="42" t="str">
        <f t="shared" si="8"/>
        <v>FAETERJ_Palácio Quitandinha</v>
      </c>
      <c r="I319" s="42">
        <f t="shared" si="9"/>
        <v>1</v>
      </c>
      <c r="J319" s="53">
        <f>COUNTIFS(H$2:H319, H319)-1</f>
        <v>4</v>
      </c>
      <c r="K319" s="42" cm="1">
        <f t="array" ref="K319">IF(I319=1,
    J319,
    MAX(IF(H:H=H319, J:J)) - J319
)</f>
        <v>4</v>
      </c>
    </row>
    <row r="320" spans="1:11" x14ac:dyDescent="0.2">
      <c r="A320" s="43" t="s">
        <v>33</v>
      </c>
      <c r="B320" s="44" t="s">
        <v>18</v>
      </c>
      <c r="C320" s="42">
        <f>VLOOKUP(Tabela13[[#This Row],[Origem]],Tabela1[],2,FALSE)</f>
        <v>33</v>
      </c>
      <c r="D320" s="42">
        <f>VLOOKUP(Tabela13[[#This Row],[Destino]],Tabela1[],2,FALSE)</f>
        <v>18</v>
      </c>
      <c r="E320" s="51" t="s">
        <v>353</v>
      </c>
      <c r="F320" s="52" t="s">
        <v>868</v>
      </c>
      <c r="H320" s="42" t="str">
        <f t="shared" si="8"/>
        <v>Boate Big House_Hiper Shopping</v>
      </c>
      <c r="I320" s="42">
        <f t="shared" si="9"/>
        <v>-1</v>
      </c>
      <c r="J320" s="53">
        <f>COUNTIFS(H$2:H320, H320)-1</f>
        <v>7</v>
      </c>
      <c r="K320" s="42" cm="1">
        <f t="array" ref="K320">IF(I320=1,
    J320,
    MAX(IF(H:H=H320, J:J)) - J320
)</f>
        <v>6</v>
      </c>
    </row>
    <row r="321" spans="1:11" x14ac:dyDescent="0.2">
      <c r="A321" s="43" t="s">
        <v>33</v>
      </c>
      <c r="B321" s="44" t="s">
        <v>18</v>
      </c>
      <c r="C321" s="42">
        <f>VLOOKUP(Tabela13[[#This Row],[Origem]],Tabela1[],2,FALSE)</f>
        <v>33</v>
      </c>
      <c r="D321" s="42">
        <f>VLOOKUP(Tabela13[[#This Row],[Destino]],Tabela1[],2,FALSE)</f>
        <v>18</v>
      </c>
      <c r="E321" s="51" t="s">
        <v>354</v>
      </c>
      <c r="F321" s="52" t="s">
        <v>869</v>
      </c>
      <c r="H321" s="42" t="str">
        <f t="shared" si="8"/>
        <v>Boate Big House_Hiper Shopping</v>
      </c>
      <c r="I321" s="42">
        <f t="shared" si="9"/>
        <v>-1</v>
      </c>
      <c r="J321" s="53">
        <f>COUNTIFS(H$2:H321, H321)-1</f>
        <v>8</v>
      </c>
      <c r="K321" s="42" cm="1">
        <f t="array" ref="K321">IF(I321=1,
    J321,
    MAX(IF(H:H=H321, J:J)) - J321
)</f>
        <v>5</v>
      </c>
    </row>
    <row r="322" spans="1:11" x14ac:dyDescent="0.2">
      <c r="A322" s="43" t="s">
        <v>33</v>
      </c>
      <c r="B322" s="44" t="s">
        <v>18</v>
      </c>
      <c r="C322" s="42">
        <f>VLOOKUP(Tabela13[[#This Row],[Origem]],Tabela1[],2,FALSE)</f>
        <v>33</v>
      </c>
      <c r="D322" s="42">
        <f>VLOOKUP(Tabela13[[#This Row],[Destino]],Tabela1[],2,FALSE)</f>
        <v>18</v>
      </c>
      <c r="E322" s="51" t="s">
        <v>355</v>
      </c>
      <c r="F322" s="52" t="s">
        <v>870</v>
      </c>
      <c r="H322" s="42" t="str">
        <f t="shared" ref="H322:H385" si="10">IF(A322&lt;B322, A322&amp;"_"&amp;B322, B322&amp;"_"&amp;A322)</f>
        <v>Boate Big House_Hiper Shopping</v>
      </c>
      <c r="I322" s="42">
        <f t="shared" ref="I322:I385" si="11">IF(A322&lt;B322, 1, -1)</f>
        <v>-1</v>
      </c>
      <c r="J322" s="53">
        <f>COUNTIFS(H$2:H322, H322)-1</f>
        <v>9</v>
      </c>
      <c r="K322" s="42" cm="1">
        <f t="array" ref="K322">IF(I322=1,
    J322,
    MAX(IF(H:H=H322, J:J)) - J322
)</f>
        <v>4</v>
      </c>
    </row>
    <row r="323" spans="1:11" x14ac:dyDescent="0.2">
      <c r="A323" s="43" t="s">
        <v>33</v>
      </c>
      <c r="B323" s="44" t="s">
        <v>18</v>
      </c>
      <c r="C323" s="42">
        <f>VLOOKUP(Tabela13[[#This Row],[Origem]],Tabela1[],2,FALSE)</f>
        <v>33</v>
      </c>
      <c r="D323" s="42">
        <f>VLOOKUP(Tabela13[[#This Row],[Destino]],Tabela1[],2,FALSE)</f>
        <v>18</v>
      </c>
      <c r="E323" s="51" t="s">
        <v>356</v>
      </c>
      <c r="F323" s="52" t="s">
        <v>871</v>
      </c>
      <c r="H323" s="42" t="str">
        <f t="shared" si="10"/>
        <v>Boate Big House_Hiper Shopping</v>
      </c>
      <c r="I323" s="42">
        <f t="shared" si="11"/>
        <v>-1</v>
      </c>
      <c r="J323" s="53">
        <f>COUNTIFS(H$2:H323, H323)-1</f>
        <v>10</v>
      </c>
      <c r="K323" s="42" cm="1">
        <f t="array" ref="K323">IF(I323=1,
    J323,
    MAX(IF(H:H=H323, J:J)) - J323
)</f>
        <v>3</v>
      </c>
    </row>
    <row r="324" spans="1:11" x14ac:dyDescent="0.2">
      <c r="A324" s="43" t="s">
        <v>33</v>
      </c>
      <c r="B324" s="44" t="s">
        <v>18</v>
      </c>
      <c r="C324" s="42">
        <f>VLOOKUP(Tabela13[[#This Row],[Origem]],Tabela1[],2,FALSE)</f>
        <v>33</v>
      </c>
      <c r="D324" s="42">
        <f>VLOOKUP(Tabela13[[#This Row],[Destino]],Tabela1[],2,FALSE)</f>
        <v>18</v>
      </c>
      <c r="E324" s="51" t="s">
        <v>357</v>
      </c>
      <c r="F324" s="52" t="s">
        <v>872</v>
      </c>
      <c r="H324" s="42" t="str">
        <f t="shared" si="10"/>
        <v>Boate Big House_Hiper Shopping</v>
      </c>
      <c r="I324" s="42">
        <f t="shared" si="11"/>
        <v>-1</v>
      </c>
      <c r="J324" s="53">
        <f>COUNTIFS(H$2:H324, H324)-1</f>
        <v>11</v>
      </c>
      <c r="K324" s="42" cm="1">
        <f t="array" ref="K324">IF(I324=1,
    J324,
    MAX(IF(H:H=H324, J:J)) - J324
)</f>
        <v>2</v>
      </c>
    </row>
    <row r="325" spans="1:11" x14ac:dyDescent="0.2">
      <c r="A325" s="43" t="s">
        <v>33</v>
      </c>
      <c r="B325" s="44" t="s">
        <v>18</v>
      </c>
      <c r="C325" s="42">
        <f>VLOOKUP(Tabela13[[#This Row],[Origem]],Tabela1[],2,FALSE)</f>
        <v>33</v>
      </c>
      <c r="D325" s="42">
        <f>VLOOKUP(Tabela13[[#This Row],[Destino]],Tabela1[],2,FALSE)</f>
        <v>18</v>
      </c>
      <c r="E325" s="51" t="s">
        <v>358</v>
      </c>
      <c r="F325" s="52" t="s">
        <v>873</v>
      </c>
      <c r="H325" s="42" t="str">
        <f t="shared" si="10"/>
        <v>Boate Big House_Hiper Shopping</v>
      </c>
      <c r="I325" s="42">
        <f t="shared" si="11"/>
        <v>-1</v>
      </c>
      <c r="J325" s="53">
        <f>COUNTIFS(H$2:H325, H325)-1</f>
        <v>12</v>
      </c>
      <c r="K325" s="42" cm="1">
        <f t="array" ref="K325">IF(I325=1,
    J325,
    MAX(IF(H:H=H325, J:J)) - J325
)</f>
        <v>1</v>
      </c>
    </row>
    <row r="326" spans="1:11" x14ac:dyDescent="0.2">
      <c r="A326" s="43" t="s">
        <v>33</v>
      </c>
      <c r="B326" s="44" t="s">
        <v>18</v>
      </c>
      <c r="C326" s="42">
        <f>VLOOKUP(Tabela13[[#This Row],[Origem]],Tabela1[],2,FALSE)</f>
        <v>33</v>
      </c>
      <c r="D326" s="42">
        <f>VLOOKUP(Tabela13[[#This Row],[Destino]],Tabela1[],2,FALSE)</f>
        <v>18</v>
      </c>
      <c r="E326" s="51" t="s">
        <v>359</v>
      </c>
      <c r="F326" s="52" t="s">
        <v>874</v>
      </c>
      <c r="H326" s="42" t="str">
        <f t="shared" si="10"/>
        <v>Boate Big House_Hiper Shopping</v>
      </c>
      <c r="I326" s="42">
        <f t="shared" si="11"/>
        <v>-1</v>
      </c>
      <c r="J326" s="53">
        <f>COUNTIFS(H$2:H326, H326)-1</f>
        <v>13</v>
      </c>
      <c r="K326" s="42" cm="1">
        <f t="array" ref="K326">IF(I326=1,
    J326,
    MAX(IF(H:H=H326, J:J)) - J326
)</f>
        <v>0</v>
      </c>
    </row>
    <row r="327" spans="1:11" x14ac:dyDescent="0.2">
      <c r="A327" s="43" t="s">
        <v>33</v>
      </c>
      <c r="B327" s="44" t="s">
        <v>81</v>
      </c>
      <c r="C327" s="42">
        <f>VLOOKUP(Tabela13[[#This Row],[Origem]],Tabela1[],2,FALSE)</f>
        <v>33</v>
      </c>
      <c r="D327" s="42">
        <f>VLOOKUP(Tabela13[[#This Row],[Destino]],Tabela1[],2,FALSE)</f>
        <v>81</v>
      </c>
      <c r="E327" s="51" t="s">
        <v>430</v>
      </c>
      <c r="F327" s="52" t="s">
        <v>942</v>
      </c>
      <c r="H327" s="42" t="str">
        <f t="shared" si="10"/>
        <v>Hiper Shopping_Rua Chile</v>
      </c>
      <c r="I327" s="42">
        <f t="shared" si="11"/>
        <v>1</v>
      </c>
      <c r="J327" s="53">
        <f>COUNTIFS(H$2:H327, H327)-1</f>
        <v>0</v>
      </c>
      <c r="K327" s="42" cm="1">
        <f t="array" ref="K327">IF(I327=1,
    J327,
    MAX(IF(H:H=H327, J:J)) - J327
)</f>
        <v>0</v>
      </c>
    </row>
    <row r="328" spans="1:11" x14ac:dyDescent="0.2">
      <c r="A328" s="43" t="s">
        <v>34</v>
      </c>
      <c r="B328" s="44" t="s">
        <v>102</v>
      </c>
      <c r="C328" s="42">
        <f>VLOOKUP(Tabela13[[#This Row],[Origem]],Tabela1[],2,FALSE)</f>
        <v>34</v>
      </c>
      <c r="D328" s="42">
        <f>VLOOKUP(Tabela13[[#This Row],[Destino]],Tabela1[],2,FALSE)</f>
        <v>102</v>
      </c>
      <c r="E328" s="51" t="s">
        <v>431</v>
      </c>
      <c r="F328" s="52" t="s">
        <v>943</v>
      </c>
      <c r="H328" s="42" t="str">
        <f t="shared" si="10"/>
        <v>Hospital Santa Teresa_Universidade Estácio</v>
      </c>
      <c r="I328" s="42">
        <f t="shared" si="11"/>
        <v>1</v>
      </c>
      <c r="J328" s="53">
        <f>COUNTIFS(H$2:H328, H328)-1</f>
        <v>0</v>
      </c>
      <c r="K328" s="42" cm="1">
        <f t="array" ref="K328">IF(I328=1,
    J328,
    MAX(IF(H:H=H328, J:J)) - J328
)</f>
        <v>0</v>
      </c>
    </row>
    <row r="329" spans="1:11" x14ac:dyDescent="0.2">
      <c r="A329" s="43" t="s">
        <v>34</v>
      </c>
      <c r="B329" s="44" t="s">
        <v>106</v>
      </c>
      <c r="C329" s="42">
        <f>VLOOKUP(Tabela13[[#This Row],[Origem]],Tabela1[],2,FALSE)</f>
        <v>34</v>
      </c>
      <c r="D329" s="42">
        <f>VLOOKUP(Tabela13[[#This Row],[Destino]],Tabela1[],2,FALSE)</f>
        <v>106</v>
      </c>
      <c r="E329" s="51" t="s">
        <v>432</v>
      </c>
      <c r="F329" s="52" t="s">
        <v>944</v>
      </c>
      <c r="H329" s="42" t="str">
        <f t="shared" si="10"/>
        <v>Hospital Santa Teresa_Vila São José</v>
      </c>
      <c r="I329" s="42">
        <f t="shared" si="11"/>
        <v>1</v>
      </c>
      <c r="J329" s="53">
        <f>COUNTIFS(H$2:H329, H329)-1</f>
        <v>0</v>
      </c>
      <c r="K329" s="42" cm="1">
        <f t="array" ref="K329">IF(I329=1,
    J329,
    MAX(IF(H:H=H329, J:J)) - J329
)</f>
        <v>0</v>
      </c>
    </row>
    <row r="330" spans="1:11" hidden="1" x14ac:dyDescent="0.2">
      <c r="A330" s="43" t="s">
        <v>35</v>
      </c>
      <c r="B330" s="44" t="s">
        <v>72</v>
      </c>
      <c r="C330" s="42">
        <f>VLOOKUP(Tabela13[[#This Row],[Origem]],Tabela1[],2,FALSE)</f>
        <v>35</v>
      </c>
      <c r="D330" s="42">
        <f>VLOOKUP(Tabela13[[#This Row],[Destino]],Tabela1[],2,FALSE)</f>
        <v>72</v>
      </c>
      <c r="E330" s="51" t="s">
        <v>188</v>
      </c>
      <c r="F330" s="52" t="s">
        <v>189</v>
      </c>
      <c r="H330" s="42" t="str">
        <f t="shared" si="10"/>
        <v>Hospital SMH_Restaurante El Sombrero</v>
      </c>
      <c r="I330" s="42">
        <f t="shared" si="11"/>
        <v>1</v>
      </c>
      <c r="J330" s="53">
        <f>COUNTIFS(H$2:H330, H330)-1</f>
        <v>0</v>
      </c>
      <c r="K330" s="42" cm="1">
        <f t="array" ref="K330">IF(I330=1,
    J330,
    MAX(IF(H:H=H330, J:J)) - J330
)</f>
        <v>0</v>
      </c>
    </row>
    <row r="331" spans="1:11" x14ac:dyDescent="0.2">
      <c r="A331" s="43" t="s">
        <v>35</v>
      </c>
      <c r="B331" s="44" t="s">
        <v>6</v>
      </c>
      <c r="C331" s="42">
        <f>VLOOKUP(Tabela13[[#This Row],[Origem]],Tabela1[],2,FALSE)</f>
        <v>35</v>
      </c>
      <c r="D331" s="42">
        <f>VLOOKUP(Tabela13[[#This Row],[Destino]],Tabela1[],2,FALSE)</f>
        <v>7</v>
      </c>
      <c r="E331" s="51" t="s">
        <v>208</v>
      </c>
      <c r="F331" s="52" t="s">
        <v>721</v>
      </c>
      <c r="H331" s="42" t="str">
        <f t="shared" si="10"/>
        <v>Avenida Portugal_Hospital SMH</v>
      </c>
      <c r="I331" s="42">
        <f t="shared" si="11"/>
        <v>-1</v>
      </c>
      <c r="J331" s="53">
        <f>COUNTIFS(H$2:H331, H331)-1</f>
        <v>1</v>
      </c>
      <c r="K331" s="42" cm="1">
        <f t="array" ref="K331">IF(I331=1,
    J331,
    MAX(IF(H:H=H331, J:J)) - J331
)</f>
        <v>0</v>
      </c>
    </row>
    <row r="332" spans="1:11" hidden="1" x14ac:dyDescent="0.2">
      <c r="A332" s="43" t="s">
        <v>36</v>
      </c>
      <c r="B332" s="44" t="s">
        <v>25</v>
      </c>
      <c r="C332" s="42">
        <f>VLOOKUP(Tabela13[[#This Row],[Origem]],Tabela1[],2,FALSE)</f>
        <v>36</v>
      </c>
      <c r="D332" s="42">
        <f>VLOOKUP(Tabela13[[#This Row],[Destino]],Tabela1[],2,FALSE)</f>
        <v>25</v>
      </c>
      <c r="E332" s="51" t="s">
        <v>188</v>
      </c>
      <c r="F332" s="52" t="s">
        <v>189</v>
      </c>
      <c r="H332" s="42" t="str">
        <f t="shared" si="10"/>
        <v>Centro_Hotel Grande Hotel</v>
      </c>
      <c r="I332" s="42">
        <f t="shared" si="11"/>
        <v>-1</v>
      </c>
      <c r="J332" s="53">
        <f>COUNTIFS(H$2:H332, H332)-1</f>
        <v>0</v>
      </c>
      <c r="K332" s="42" cm="1">
        <f t="array" ref="K332">IF(I332=1,
    J332,
    MAX(IF(H:H=H332, J:J)) - J332
)</f>
        <v>0</v>
      </c>
    </row>
    <row r="333" spans="1:11" x14ac:dyDescent="0.2">
      <c r="A333" s="43" t="s">
        <v>36</v>
      </c>
      <c r="B333" s="44" t="s">
        <v>93</v>
      </c>
      <c r="C333" s="42">
        <f>VLOOKUP(Tabela13[[#This Row],[Origem]],Tabela1[],2,FALSE)</f>
        <v>36</v>
      </c>
      <c r="D333" s="42">
        <f>VLOOKUP(Tabela13[[#This Row],[Destino]],Tabela1[],2,FALSE)</f>
        <v>93</v>
      </c>
      <c r="E333" s="51" t="s">
        <v>433</v>
      </c>
      <c r="F333" s="52" t="s">
        <v>945</v>
      </c>
      <c r="H333" s="42" t="str">
        <f t="shared" si="10"/>
        <v>Hotel Grande Hotel_Rua Paulo Barbosa</v>
      </c>
      <c r="I333" s="42">
        <f t="shared" si="11"/>
        <v>1</v>
      </c>
      <c r="J333" s="53">
        <f>COUNTIFS(H$2:H333, H333)-1</f>
        <v>0</v>
      </c>
      <c r="K333" s="42" cm="1">
        <f t="array" ref="K333">IF(I333=1,
    J333,
    MAX(IF(H:H=H333, J:J)) - J333
)</f>
        <v>0</v>
      </c>
    </row>
    <row r="334" spans="1:11" x14ac:dyDescent="0.2">
      <c r="A334" s="43" t="s">
        <v>37</v>
      </c>
      <c r="B334" s="44" t="s">
        <v>27</v>
      </c>
      <c r="C334" s="42">
        <f>VLOOKUP(Tabela13[[#This Row],[Origem]],Tabela1[],2,FALSE)</f>
        <v>37</v>
      </c>
      <c r="D334" s="42">
        <f>VLOOKUP(Tabela13[[#This Row],[Destino]],Tabela1[],2,FALSE)</f>
        <v>27</v>
      </c>
      <c r="E334" s="51" t="s">
        <v>434</v>
      </c>
      <c r="F334" s="52" t="s">
        <v>946</v>
      </c>
      <c r="H334" s="42" t="str">
        <f t="shared" si="10"/>
        <v>Colégio Nossa Senhora do Amparo_Hotel Solar Imperial</v>
      </c>
      <c r="I334" s="42">
        <f t="shared" si="11"/>
        <v>-1</v>
      </c>
      <c r="J334" s="53">
        <f>COUNTIFS(H$2:H334, H334)-1</f>
        <v>0</v>
      </c>
      <c r="K334" s="42" cm="1">
        <f t="array" ref="K334">IF(I334=1,
    J334,
    MAX(IF(H:H=H334, J:J)) - J334
)</f>
        <v>0</v>
      </c>
    </row>
    <row r="335" spans="1:11" hidden="1" x14ac:dyDescent="0.2">
      <c r="A335" s="43" t="s">
        <v>37</v>
      </c>
      <c r="B335" s="44" t="s">
        <v>61</v>
      </c>
      <c r="C335" s="42">
        <f>VLOOKUP(Tabela13[[#This Row],[Origem]],Tabela1[],2,FALSE)</f>
        <v>37</v>
      </c>
      <c r="D335" s="42">
        <f>VLOOKUP(Tabela13[[#This Row],[Destino]],Tabela1[],2,FALSE)</f>
        <v>61</v>
      </c>
      <c r="E335" s="51" t="s">
        <v>188</v>
      </c>
      <c r="F335" s="52" t="s">
        <v>189</v>
      </c>
      <c r="H335" s="42" t="str">
        <f t="shared" si="10"/>
        <v>Hotel Solar Imperial_Praça 14 Bis</v>
      </c>
      <c r="I335" s="42">
        <f t="shared" si="11"/>
        <v>1</v>
      </c>
      <c r="J335" s="53">
        <f>COUNTIFS(H$2:H335, H335)-1</f>
        <v>0</v>
      </c>
      <c r="K335" s="42" cm="1">
        <f t="array" ref="K335">IF(I335=1,
    J335,
    MAX(IF(H:H=H335, J:J)) - J335
)</f>
        <v>0</v>
      </c>
    </row>
    <row r="336" spans="1:11" x14ac:dyDescent="0.2">
      <c r="A336" s="43" t="s">
        <v>38</v>
      </c>
      <c r="B336" s="44" t="s">
        <v>46</v>
      </c>
      <c r="C336" s="42">
        <f>VLOOKUP(Tabela13[[#This Row],[Origem]],Tabela1[],2,FALSE)</f>
        <v>38</v>
      </c>
      <c r="D336" s="42">
        <f>VLOOKUP(Tabela13[[#This Row],[Destino]],Tabela1[],2,FALSE)</f>
        <v>46</v>
      </c>
      <c r="E336" s="51" t="s">
        <v>435</v>
      </c>
      <c r="F336" s="52" t="s">
        <v>947</v>
      </c>
      <c r="H336" s="42" t="str">
        <f t="shared" si="10"/>
        <v>Igreja do Rosário_Loja Casa &amp; Vídeo</v>
      </c>
      <c r="I336" s="42">
        <f t="shared" si="11"/>
        <v>1</v>
      </c>
      <c r="J336" s="53">
        <f>COUNTIFS(H$2:H336, H336)-1</f>
        <v>0</v>
      </c>
      <c r="K336" s="42" cm="1">
        <f t="array" ref="K336">IF(I336=1,
    J336,
    MAX(IF(H:H=H336, J:J)) - J336
)</f>
        <v>0</v>
      </c>
    </row>
    <row r="337" spans="1:11" x14ac:dyDescent="0.2">
      <c r="A337" s="43" t="s">
        <v>38</v>
      </c>
      <c r="B337" s="44" t="s">
        <v>79</v>
      </c>
      <c r="C337" s="42">
        <f>VLOOKUP(Tabela13[[#This Row],[Origem]],Tabela1[],2,FALSE)</f>
        <v>38</v>
      </c>
      <c r="D337" s="42">
        <f>VLOOKUP(Tabela13[[#This Row],[Destino]],Tabela1[],2,FALSE)</f>
        <v>79</v>
      </c>
      <c r="E337" s="51" t="s">
        <v>436</v>
      </c>
      <c r="F337" s="52" t="s">
        <v>948</v>
      </c>
      <c r="H337" s="42" t="str">
        <f t="shared" si="10"/>
        <v>Igreja do Rosário_Rua Alberto Torres</v>
      </c>
      <c r="I337" s="42">
        <f t="shared" si="11"/>
        <v>1</v>
      </c>
      <c r="J337" s="53">
        <f>COUNTIFS(H$2:H337, H337)-1</f>
        <v>0</v>
      </c>
      <c r="K337" s="42" cm="1">
        <f t="array" ref="K337">IF(I337=1,
    J337,
    MAX(IF(H:H=H337, J:J)) - J337
)</f>
        <v>0</v>
      </c>
    </row>
    <row r="338" spans="1:11" x14ac:dyDescent="0.2">
      <c r="A338" s="43" t="s">
        <v>38</v>
      </c>
      <c r="B338" s="44" t="s">
        <v>79</v>
      </c>
      <c r="C338" s="42">
        <f>VLOOKUP(Tabela13[[#This Row],[Origem]],Tabela1[],2,FALSE)</f>
        <v>38</v>
      </c>
      <c r="D338" s="42">
        <f>VLOOKUP(Tabela13[[#This Row],[Destino]],Tabela1[],2,FALSE)</f>
        <v>79</v>
      </c>
      <c r="E338" s="51" t="s">
        <v>437</v>
      </c>
      <c r="F338" s="52" t="s">
        <v>949</v>
      </c>
      <c r="H338" s="42" t="str">
        <f t="shared" si="10"/>
        <v>Igreja do Rosário_Rua Alberto Torres</v>
      </c>
      <c r="I338" s="42">
        <f t="shared" si="11"/>
        <v>1</v>
      </c>
      <c r="J338" s="53">
        <f>COUNTIFS(H$2:H338, H338)-1</f>
        <v>1</v>
      </c>
      <c r="K338" s="42" cm="1">
        <f t="array" ref="K338">IF(I338=1,
    J338,
    MAX(IF(H:H=H338, J:J)) - J338
)</f>
        <v>1</v>
      </c>
    </row>
    <row r="339" spans="1:11" x14ac:dyDescent="0.2">
      <c r="A339" s="43" t="s">
        <v>38</v>
      </c>
      <c r="B339" s="44" t="s">
        <v>79</v>
      </c>
      <c r="C339" s="42">
        <f>VLOOKUP(Tabela13[[#This Row],[Origem]],Tabela1[],2,FALSE)</f>
        <v>38</v>
      </c>
      <c r="D339" s="42">
        <f>VLOOKUP(Tabela13[[#This Row],[Destino]],Tabela1[],2,FALSE)</f>
        <v>79</v>
      </c>
      <c r="E339" s="51" t="s">
        <v>200</v>
      </c>
      <c r="F339" s="52" t="s">
        <v>950</v>
      </c>
      <c r="H339" s="42" t="str">
        <f t="shared" si="10"/>
        <v>Igreja do Rosário_Rua Alberto Torres</v>
      </c>
      <c r="I339" s="42">
        <f t="shared" si="11"/>
        <v>1</v>
      </c>
      <c r="J339" s="53">
        <f>COUNTIFS(H$2:H339, H339)-1</f>
        <v>2</v>
      </c>
      <c r="K339" s="42" cm="1">
        <f t="array" ref="K339">IF(I339=1,
    J339,
    MAX(IF(H:H=H339, J:J)) - J339
)</f>
        <v>2</v>
      </c>
    </row>
    <row r="340" spans="1:11" x14ac:dyDescent="0.2">
      <c r="A340" s="43" t="s">
        <v>38</v>
      </c>
      <c r="B340" s="44" t="s">
        <v>79</v>
      </c>
      <c r="C340" s="42">
        <f>VLOOKUP(Tabela13[[#This Row],[Origem]],Tabela1[],2,FALSE)</f>
        <v>38</v>
      </c>
      <c r="D340" s="42">
        <f>VLOOKUP(Tabela13[[#This Row],[Destino]],Tabela1[],2,FALSE)</f>
        <v>79</v>
      </c>
      <c r="E340" s="51" t="s">
        <v>438</v>
      </c>
      <c r="F340" s="52" t="s">
        <v>951</v>
      </c>
      <c r="H340" s="42" t="str">
        <f t="shared" si="10"/>
        <v>Igreja do Rosário_Rua Alberto Torres</v>
      </c>
      <c r="I340" s="42">
        <f t="shared" si="11"/>
        <v>1</v>
      </c>
      <c r="J340" s="53">
        <f>COUNTIFS(H$2:H340, H340)-1</f>
        <v>3</v>
      </c>
      <c r="K340" s="42" cm="1">
        <f t="array" ref="K340">IF(I340=1,
    J340,
    MAX(IF(H:H=H340, J:J)) - J340
)</f>
        <v>3</v>
      </c>
    </row>
    <row r="341" spans="1:11" hidden="1" x14ac:dyDescent="0.2">
      <c r="A341" s="43" t="s">
        <v>39</v>
      </c>
      <c r="B341" s="44" t="s">
        <v>21</v>
      </c>
      <c r="C341" s="42">
        <f>VLOOKUP(Tabela13[[#This Row],[Origem]],Tabela1[],2,FALSE)</f>
        <v>39</v>
      </c>
      <c r="D341" s="42">
        <f>VLOOKUP(Tabela13[[#This Row],[Destino]],Tabela1[],2,FALSE)</f>
        <v>21</v>
      </c>
      <c r="E341" s="51" t="s">
        <v>188</v>
      </c>
      <c r="F341" s="52" t="s">
        <v>189</v>
      </c>
      <c r="H341" s="42" t="str">
        <f t="shared" si="10"/>
        <v>Capelas funerárias_Igreja do Sagrado</v>
      </c>
      <c r="I341" s="42">
        <f t="shared" si="11"/>
        <v>-1</v>
      </c>
      <c r="J341" s="53">
        <f>COUNTIFS(H$2:H341, H341)-1</f>
        <v>1</v>
      </c>
      <c r="K341" s="42" cm="1">
        <f t="array" ref="K341">IF(I341=1,
    J341,
    MAX(IF(H:H=H341, J:J)) - J341
)</f>
        <v>0</v>
      </c>
    </row>
    <row r="342" spans="1:11" x14ac:dyDescent="0.2">
      <c r="A342" s="43" t="s">
        <v>39</v>
      </c>
      <c r="B342" s="44" t="s">
        <v>99</v>
      </c>
      <c r="C342" s="42">
        <f>VLOOKUP(Tabela13[[#This Row],[Origem]],Tabela1[],2,FALSE)</f>
        <v>39</v>
      </c>
      <c r="D342" s="42">
        <f>VLOOKUP(Tabela13[[#This Row],[Destino]],Tabela1[],2,FALSE)</f>
        <v>99</v>
      </c>
      <c r="E342" s="51" t="s">
        <v>439</v>
      </c>
      <c r="F342" s="52" t="s">
        <v>952</v>
      </c>
      <c r="H342" s="42" t="str">
        <f t="shared" si="10"/>
        <v>Igreja do Sagrado_Tabacaria Be Happy</v>
      </c>
      <c r="I342" s="42">
        <f t="shared" si="11"/>
        <v>1</v>
      </c>
      <c r="J342" s="53">
        <f>COUNTIFS(H$2:H342, H342)-1</f>
        <v>0</v>
      </c>
      <c r="K342" s="42" cm="1">
        <f t="array" ref="K342">IF(I342=1,
    J342,
    MAX(IF(H:H=H342, J:J)) - J342
)</f>
        <v>0</v>
      </c>
    </row>
    <row r="343" spans="1:11" x14ac:dyDescent="0.2">
      <c r="A343" s="43" t="s">
        <v>39</v>
      </c>
      <c r="B343" s="44" t="s">
        <v>99</v>
      </c>
      <c r="C343" s="42">
        <f>VLOOKUP(Tabela13[[#This Row],[Origem]],Tabela1[],2,FALSE)</f>
        <v>39</v>
      </c>
      <c r="D343" s="42">
        <f>VLOOKUP(Tabela13[[#This Row],[Destino]],Tabela1[],2,FALSE)</f>
        <v>99</v>
      </c>
      <c r="E343" s="51" t="s">
        <v>440</v>
      </c>
      <c r="F343" s="52" t="s">
        <v>953</v>
      </c>
      <c r="H343" s="42" t="str">
        <f t="shared" si="10"/>
        <v>Igreja do Sagrado_Tabacaria Be Happy</v>
      </c>
      <c r="I343" s="42">
        <f t="shared" si="11"/>
        <v>1</v>
      </c>
      <c r="J343" s="53">
        <f>COUNTIFS(H$2:H343, H343)-1</f>
        <v>1</v>
      </c>
      <c r="K343" s="42" cm="1">
        <f t="array" ref="K343">IF(I343=1,
    J343,
    MAX(IF(H:H=H343, J:J)) - J343
)</f>
        <v>1</v>
      </c>
    </row>
    <row r="344" spans="1:11" x14ac:dyDescent="0.2">
      <c r="A344" s="43" t="s">
        <v>40</v>
      </c>
      <c r="B344" s="44" t="s">
        <v>69</v>
      </c>
      <c r="C344" s="42">
        <f>VLOOKUP(Tabela13[[#This Row],[Origem]],Tabela1[],2,FALSE)</f>
        <v>40</v>
      </c>
      <c r="D344" s="42">
        <f>VLOOKUP(Tabela13[[#This Row],[Destino]],Tabela1[],2,FALSE)</f>
        <v>69</v>
      </c>
      <c r="E344" s="51" t="s">
        <v>441</v>
      </c>
      <c r="F344" s="52" t="s">
        <v>954</v>
      </c>
      <c r="H344" s="42" t="str">
        <f t="shared" si="10"/>
        <v>Igreja Santo Antônio_Pronto Socorro do Alto da Serra</v>
      </c>
      <c r="I344" s="42">
        <f t="shared" si="11"/>
        <v>1</v>
      </c>
      <c r="J344" s="53">
        <f>COUNTIFS(H$2:H344, H344)-1</f>
        <v>0</v>
      </c>
      <c r="K344" s="42" cm="1">
        <f t="array" ref="K344">IF(I344=1,
    J344,
    MAX(IF(H:H=H344, J:J)) - J344
)</f>
        <v>0</v>
      </c>
    </row>
    <row r="345" spans="1:11" x14ac:dyDescent="0.2">
      <c r="A345" s="43" t="s">
        <v>40</v>
      </c>
      <c r="B345" s="44" t="s">
        <v>68</v>
      </c>
      <c r="C345" s="42">
        <f>VLOOKUP(Tabela13[[#This Row],[Origem]],Tabela1[],2,FALSE)</f>
        <v>40</v>
      </c>
      <c r="D345" s="42">
        <f>VLOOKUP(Tabela13[[#This Row],[Destino]],Tabela1[],2,FALSE)</f>
        <v>68</v>
      </c>
      <c r="E345" s="51" t="s">
        <v>442</v>
      </c>
      <c r="F345" s="52" t="s">
        <v>955</v>
      </c>
      <c r="H345" s="42" t="str">
        <f t="shared" si="10"/>
        <v>Igreja Santo Antônio_Praça Pasteur</v>
      </c>
      <c r="I345" s="42">
        <f t="shared" si="11"/>
        <v>1</v>
      </c>
      <c r="J345" s="53">
        <f>COUNTIFS(H$2:H345, H345)-1</f>
        <v>0</v>
      </c>
      <c r="K345" s="42" cm="1">
        <f t="array" ref="K345">IF(I345=1,
    J345,
    MAX(IF(H:H=H345, J:J)) - J345
)</f>
        <v>0</v>
      </c>
    </row>
    <row r="346" spans="1:11" x14ac:dyDescent="0.2">
      <c r="A346" s="43" t="s">
        <v>40</v>
      </c>
      <c r="B346" s="44" t="s">
        <v>68</v>
      </c>
      <c r="C346" s="42">
        <f>VLOOKUP(Tabela13[[#This Row],[Origem]],Tabela1[],2,FALSE)</f>
        <v>40</v>
      </c>
      <c r="D346" s="42">
        <f>VLOOKUP(Tabela13[[#This Row],[Destino]],Tabela1[],2,FALSE)</f>
        <v>68</v>
      </c>
      <c r="E346" s="51" t="s">
        <v>443</v>
      </c>
      <c r="F346" s="52" t="s">
        <v>956</v>
      </c>
      <c r="H346" s="42" t="str">
        <f t="shared" si="10"/>
        <v>Igreja Santo Antônio_Praça Pasteur</v>
      </c>
      <c r="I346" s="42">
        <f t="shared" si="11"/>
        <v>1</v>
      </c>
      <c r="J346" s="53">
        <f>COUNTIFS(H$2:H346, H346)-1</f>
        <v>1</v>
      </c>
      <c r="K346" s="42" cm="1">
        <f t="array" ref="K346">IF(I346=1,
    J346,
    MAX(IF(H:H=H346, J:J)) - J346
)</f>
        <v>1</v>
      </c>
    </row>
    <row r="347" spans="1:11" x14ac:dyDescent="0.2">
      <c r="A347" s="43" t="s">
        <v>40</v>
      </c>
      <c r="B347" s="44" t="s">
        <v>68</v>
      </c>
      <c r="C347" s="42">
        <f>VLOOKUP(Tabela13[[#This Row],[Origem]],Tabela1[],2,FALSE)</f>
        <v>40</v>
      </c>
      <c r="D347" s="42">
        <f>VLOOKUP(Tabela13[[#This Row],[Destino]],Tabela1[],2,FALSE)</f>
        <v>68</v>
      </c>
      <c r="E347" s="51" t="s">
        <v>444</v>
      </c>
      <c r="F347" s="52" t="s">
        <v>957</v>
      </c>
      <c r="H347" s="42" t="str">
        <f t="shared" si="10"/>
        <v>Igreja Santo Antônio_Praça Pasteur</v>
      </c>
      <c r="I347" s="42">
        <f t="shared" si="11"/>
        <v>1</v>
      </c>
      <c r="J347" s="53">
        <f>COUNTIFS(H$2:H347, H347)-1</f>
        <v>2</v>
      </c>
      <c r="K347" s="42" cm="1">
        <f t="array" ref="K347">IF(I347=1,
    J347,
    MAX(IF(H:H=H347, J:J)) - J347
)</f>
        <v>2</v>
      </c>
    </row>
    <row r="348" spans="1:11" x14ac:dyDescent="0.2">
      <c r="A348" s="43" t="s">
        <v>40</v>
      </c>
      <c r="B348" s="44" t="s">
        <v>68</v>
      </c>
      <c r="C348" s="42">
        <f>VLOOKUP(Tabela13[[#This Row],[Origem]],Tabela1[],2,FALSE)</f>
        <v>40</v>
      </c>
      <c r="D348" s="42">
        <f>VLOOKUP(Tabela13[[#This Row],[Destino]],Tabela1[],2,FALSE)</f>
        <v>68</v>
      </c>
      <c r="E348" s="51" t="s">
        <v>444</v>
      </c>
      <c r="F348" s="52" t="s">
        <v>957</v>
      </c>
      <c r="H348" s="42" t="str">
        <f t="shared" si="10"/>
        <v>Igreja Santo Antônio_Praça Pasteur</v>
      </c>
      <c r="I348" s="42">
        <f t="shared" si="11"/>
        <v>1</v>
      </c>
      <c r="J348" s="53">
        <f>COUNTIFS(H$2:H348, H348)-1</f>
        <v>3</v>
      </c>
      <c r="K348" s="42" cm="1">
        <f t="array" ref="K348">IF(I348=1,
    J348,
    MAX(IF(H:H=H348, J:J)) - J348
)</f>
        <v>3</v>
      </c>
    </row>
    <row r="349" spans="1:11" x14ac:dyDescent="0.2">
      <c r="A349" s="43" t="s">
        <v>40</v>
      </c>
      <c r="B349" s="44" t="s">
        <v>68</v>
      </c>
      <c r="C349" s="42">
        <f>VLOOKUP(Tabela13[[#This Row],[Origem]],Tabela1[],2,FALSE)</f>
        <v>40</v>
      </c>
      <c r="D349" s="42">
        <f>VLOOKUP(Tabela13[[#This Row],[Destino]],Tabela1[],2,FALSE)</f>
        <v>68</v>
      </c>
      <c r="E349" s="51" t="s">
        <v>445</v>
      </c>
      <c r="F349" s="52" t="s">
        <v>958</v>
      </c>
      <c r="H349" s="42" t="str">
        <f t="shared" si="10"/>
        <v>Igreja Santo Antônio_Praça Pasteur</v>
      </c>
      <c r="I349" s="42">
        <f t="shared" si="11"/>
        <v>1</v>
      </c>
      <c r="J349" s="53">
        <f>COUNTIFS(H$2:H349, H349)-1</f>
        <v>4</v>
      </c>
      <c r="K349" s="42" cm="1">
        <f t="array" ref="K349">IF(I349=1,
    J349,
    MAX(IF(H:H=H349, J:J)) - J349
)</f>
        <v>4</v>
      </c>
    </row>
    <row r="350" spans="1:11" x14ac:dyDescent="0.2">
      <c r="A350" s="43" t="s">
        <v>41</v>
      </c>
      <c r="B350" s="44" t="s">
        <v>100</v>
      </c>
      <c r="C350" s="42">
        <f>VLOOKUP(Tabela13[[#This Row],[Origem]],Tabela1[],2,FALSE)</f>
        <v>41</v>
      </c>
      <c r="D350" s="42">
        <f>VLOOKUP(Tabela13[[#This Row],[Destino]],Tabela1[],2,FALSE)</f>
        <v>100</v>
      </c>
      <c r="E350" s="51" t="s">
        <v>446</v>
      </c>
      <c r="F350" s="52" t="s">
        <v>959</v>
      </c>
      <c r="H350" s="42" t="str">
        <f t="shared" si="10"/>
        <v>INSS_Teatro Dom Pedro</v>
      </c>
      <c r="I350" s="42">
        <f t="shared" si="11"/>
        <v>1</v>
      </c>
      <c r="J350" s="53">
        <f>COUNTIFS(H$2:H350, H350)-1</f>
        <v>0</v>
      </c>
      <c r="K350" s="42" cm="1">
        <f t="array" ref="K350">IF(I350=1,
    J350,
    MAX(IF(H:H=H350, J:J)) - J350
)</f>
        <v>0</v>
      </c>
    </row>
    <row r="351" spans="1:11" x14ac:dyDescent="0.2">
      <c r="A351" s="43" t="s">
        <v>41</v>
      </c>
      <c r="B351" s="44" t="s">
        <v>19</v>
      </c>
      <c r="C351" s="42">
        <f>VLOOKUP(Tabela13[[#This Row],[Origem]],Tabela1[],2,FALSE)</f>
        <v>41</v>
      </c>
      <c r="D351" s="42">
        <f>VLOOKUP(Tabela13[[#This Row],[Destino]],Tabela1[],2,FALSE)</f>
        <v>19</v>
      </c>
      <c r="E351" s="51" t="s">
        <v>447</v>
      </c>
      <c r="F351" s="52" t="s">
        <v>960</v>
      </c>
      <c r="H351" s="42" t="str">
        <f t="shared" si="10"/>
        <v>Bosque do Imperador_INSS</v>
      </c>
      <c r="I351" s="42">
        <f t="shared" si="11"/>
        <v>-1</v>
      </c>
      <c r="J351" s="53">
        <f>COUNTIFS(H$2:H351, H351)-1</f>
        <v>0</v>
      </c>
      <c r="K351" s="42" cm="1">
        <f t="array" ref="K351">IF(I351=1,
    J351,
    MAX(IF(H:H=H351, J:J)) - J351
)</f>
        <v>0</v>
      </c>
    </row>
    <row r="352" spans="1:11" x14ac:dyDescent="0.2">
      <c r="A352" s="43" t="s">
        <v>42</v>
      </c>
      <c r="B352" s="44" t="s">
        <v>13</v>
      </c>
      <c r="C352" s="42">
        <f>VLOOKUP(Tabela13[[#This Row],[Origem]],Tabela1[],2,FALSE)</f>
        <v>42</v>
      </c>
      <c r="D352" s="42">
        <f>VLOOKUP(Tabela13[[#This Row],[Destino]],Tabela1[],2,FALSE)</f>
        <v>14</v>
      </c>
      <c r="E352" s="51" t="s">
        <v>294</v>
      </c>
      <c r="F352" s="52" t="s">
        <v>807</v>
      </c>
      <c r="H352" s="42" t="str">
        <f t="shared" si="10"/>
        <v>Bairro Valparaíso_Instituto Teológico</v>
      </c>
      <c r="I352" s="42">
        <f t="shared" si="11"/>
        <v>-1</v>
      </c>
      <c r="J352" s="53">
        <f>COUNTIFS(H$2:H352, H352)-1</f>
        <v>1</v>
      </c>
      <c r="K352" s="42" cm="1">
        <f t="array" ref="K352">IF(I352=1,
    J352,
    MAX(IF(H:H=H352, J:J)) - J352
)</f>
        <v>0</v>
      </c>
    </row>
    <row r="353" spans="1:11" x14ac:dyDescent="0.2">
      <c r="A353" s="43" t="s">
        <v>42</v>
      </c>
      <c r="B353" s="44" t="s">
        <v>107</v>
      </c>
      <c r="C353" s="42">
        <f>VLOOKUP(Tabela13[[#This Row],[Origem]],Tabela1[],2,FALSE)</f>
        <v>42</v>
      </c>
      <c r="D353" s="42">
        <f>VLOOKUP(Tabela13[[#This Row],[Destino]],Tabela1[],2,FALSE)</f>
        <v>107</v>
      </c>
      <c r="E353" s="51" t="s">
        <v>448</v>
      </c>
      <c r="F353" s="52" t="s">
        <v>961</v>
      </c>
      <c r="H353" s="42" t="str">
        <f t="shared" si="10"/>
        <v>Instituto Teológico_Volkswagen</v>
      </c>
      <c r="I353" s="42">
        <f t="shared" si="11"/>
        <v>1</v>
      </c>
      <c r="J353" s="53">
        <f>COUNTIFS(H$2:H353, H353)-1</f>
        <v>0</v>
      </c>
      <c r="K353" s="42" cm="1">
        <f t="array" ref="K353">IF(I353=1,
    J353,
    MAX(IF(H:H=H353, J:J)) - J353
)</f>
        <v>0</v>
      </c>
    </row>
    <row r="354" spans="1:11" x14ac:dyDescent="0.2">
      <c r="A354" s="43" t="s">
        <v>42</v>
      </c>
      <c r="B354" s="44" t="s">
        <v>107</v>
      </c>
      <c r="C354" s="42">
        <f>VLOOKUP(Tabela13[[#This Row],[Origem]],Tabela1[],2,FALSE)</f>
        <v>42</v>
      </c>
      <c r="D354" s="42">
        <f>VLOOKUP(Tabela13[[#This Row],[Destino]],Tabela1[],2,FALSE)</f>
        <v>107</v>
      </c>
      <c r="E354" s="51" t="s">
        <v>449</v>
      </c>
      <c r="F354" s="52" t="s">
        <v>962</v>
      </c>
      <c r="H354" s="42" t="str">
        <f t="shared" si="10"/>
        <v>Instituto Teológico_Volkswagen</v>
      </c>
      <c r="I354" s="42">
        <f t="shared" si="11"/>
        <v>1</v>
      </c>
      <c r="J354" s="53">
        <f>COUNTIFS(H$2:H354, H354)-1</f>
        <v>1</v>
      </c>
      <c r="K354" s="42" cm="1">
        <f t="array" ref="K354">IF(I354=1,
    J354,
    MAX(IF(H:H=H354, J:J)) - J354
)</f>
        <v>1</v>
      </c>
    </row>
    <row r="355" spans="1:11" x14ac:dyDescent="0.2">
      <c r="A355" s="43" t="s">
        <v>42</v>
      </c>
      <c r="B355" s="44" t="s">
        <v>107</v>
      </c>
      <c r="C355" s="42">
        <f>VLOOKUP(Tabela13[[#This Row],[Origem]],Tabela1[],2,FALSE)</f>
        <v>42</v>
      </c>
      <c r="D355" s="42">
        <f>VLOOKUP(Tabela13[[#This Row],[Destino]],Tabela1[],2,FALSE)</f>
        <v>107</v>
      </c>
      <c r="E355" s="51" t="s">
        <v>450</v>
      </c>
      <c r="F355" s="52" t="s">
        <v>963</v>
      </c>
      <c r="H355" s="42" t="str">
        <f t="shared" si="10"/>
        <v>Instituto Teológico_Volkswagen</v>
      </c>
      <c r="I355" s="42">
        <f t="shared" si="11"/>
        <v>1</v>
      </c>
      <c r="J355" s="53">
        <f>COUNTIFS(H$2:H355, H355)-1</f>
        <v>2</v>
      </c>
      <c r="K355" s="42" cm="1">
        <f t="array" ref="K355">IF(I355=1,
    J355,
    MAX(IF(H:H=H355, J:J)) - J355
)</f>
        <v>2</v>
      </c>
    </row>
    <row r="356" spans="1:11" x14ac:dyDescent="0.2">
      <c r="A356" s="43" t="s">
        <v>42</v>
      </c>
      <c r="B356" s="44" t="s">
        <v>107</v>
      </c>
      <c r="C356" s="42">
        <f>VLOOKUP(Tabela13[[#This Row],[Origem]],Tabela1[],2,FALSE)</f>
        <v>42</v>
      </c>
      <c r="D356" s="42">
        <f>VLOOKUP(Tabela13[[#This Row],[Destino]],Tabela1[],2,FALSE)</f>
        <v>107</v>
      </c>
      <c r="E356" s="51" t="s">
        <v>451</v>
      </c>
      <c r="F356" s="52" t="s">
        <v>964</v>
      </c>
      <c r="H356" s="42" t="str">
        <f t="shared" si="10"/>
        <v>Instituto Teológico_Volkswagen</v>
      </c>
      <c r="I356" s="42">
        <f t="shared" si="11"/>
        <v>1</v>
      </c>
      <c r="J356" s="53">
        <f>COUNTIFS(H$2:H356, H356)-1</f>
        <v>3</v>
      </c>
      <c r="K356" s="42" cm="1">
        <f t="array" ref="K356">IF(I356=1,
    J356,
    MAX(IF(H:H=H356, J:J)) - J356
)</f>
        <v>3</v>
      </c>
    </row>
    <row r="357" spans="1:11" x14ac:dyDescent="0.2">
      <c r="A357" s="43" t="s">
        <v>42</v>
      </c>
      <c r="B357" s="44" t="s">
        <v>107</v>
      </c>
      <c r="C357" s="42">
        <f>VLOOKUP(Tabela13[[#This Row],[Origem]],Tabela1[],2,FALSE)</f>
        <v>42</v>
      </c>
      <c r="D357" s="42">
        <f>VLOOKUP(Tabela13[[#This Row],[Destino]],Tabela1[],2,FALSE)</f>
        <v>107</v>
      </c>
      <c r="E357" s="51" t="s">
        <v>452</v>
      </c>
      <c r="F357" s="52" t="s">
        <v>965</v>
      </c>
      <c r="H357" s="42" t="str">
        <f t="shared" si="10"/>
        <v>Instituto Teológico_Volkswagen</v>
      </c>
      <c r="I357" s="42">
        <f t="shared" si="11"/>
        <v>1</v>
      </c>
      <c r="J357" s="53">
        <f>COUNTIFS(H$2:H357, H357)-1</f>
        <v>4</v>
      </c>
      <c r="K357" s="42" cm="1">
        <f t="array" ref="K357">IF(I357=1,
    J357,
    MAX(IF(H:H=H357, J:J)) - J357
)</f>
        <v>4</v>
      </c>
    </row>
    <row r="358" spans="1:11" x14ac:dyDescent="0.2">
      <c r="A358" s="43" t="s">
        <v>42</v>
      </c>
      <c r="B358" s="44" t="s">
        <v>107</v>
      </c>
      <c r="C358" s="42">
        <f>VLOOKUP(Tabela13[[#This Row],[Origem]],Tabela1[],2,FALSE)</f>
        <v>42</v>
      </c>
      <c r="D358" s="42">
        <f>VLOOKUP(Tabela13[[#This Row],[Destino]],Tabela1[],2,FALSE)</f>
        <v>107</v>
      </c>
      <c r="E358" s="51" t="s">
        <v>453</v>
      </c>
      <c r="F358" s="52" t="s">
        <v>966</v>
      </c>
      <c r="H358" s="42" t="str">
        <f t="shared" si="10"/>
        <v>Instituto Teológico_Volkswagen</v>
      </c>
      <c r="I358" s="42">
        <f t="shared" si="11"/>
        <v>1</v>
      </c>
      <c r="J358" s="53">
        <f>COUNTIFS(H$2:H358, H358)-1</f>
        <v>5</v>
      </c>
      <c r="K358" s="42" cm="1">
        <f t="array" ref="K358">IF(I358=1,
    J358,
    MAX(IF(H:H=H358, J:J)) - J358
)</f>
        <v>5</v>
      </c>
    </row>
    <row r="359" spans="1:11" x14ac:dyDescent="0.2">
      <c r="A359" s="43" t="s">
        <v>42</v>
      </c>
      <c r="B359" s="44" t="s">
        <v>107</v>
      </c>
      <c r="C359" s="42">
        <f>VLOOKUP(Tabela13[[#This Row],[Origem]],Tabela1[],2,FALSE)</f>
        <v>42</v>
      </c>
      <c r="D359" s="42">
        <f>VLOOKUP(Tabela13[[#This Row],[Destino]],Tabela1[],2,FALSE)</f>
        <v>107</v>
      </c>
      <c r="E359" s="51" t="s">
        <v>454</v>
      </c>
      <c r="F359" s="52" t="s">
        <v>967</v>
      </c>
      <c r="H359" s="42" t="str">
        <f t="shared" si="10"/>
        <v>Instituto Teológico_Volkswagen</v>
      </c>
      <c r="I359" s="42">
        <f t="shared" si="11"/>
        <v>1</v>
      </c>
      <c r="J359" s="53">
        <f>COUNTIFS(H$2:H359, H359)-1</f>
        <v>6</v>
      </c>
      <c r="K359" s="42" cm="1">
        <f t="array" ref="K359">IF(I359=1,
    J359,
    MAX(IF(H:H=H359, J:J)) - J359
)</f>
        <v>6</v>
      </c>
    </row>
    <row r="360" spans="1:11" x14ac:dyDescent="0.2">
      <c r="A360" s="43" t="s">
        <v>42</v>
      </c>
      <c r="B360" s="44" t="s">
        <v>107</v>
      </c>
      <c r="C360" s="42">
        <f>VLOOKUP(Tabela13[[#This Row],[Origem]],Tabela1[],2,FALSE)</f>
        <v>42</v>
      </c>
      <c r="D360" s="42">
        <f>VLOOKUP(Tabela13[[#This Row],[Destino]],Tabela1[],2,FALSE)</f>
        <v>107</v>
      </c>
      <c r="E360" s="51" t="s">
        <v>455</v>
      </c>
      <c r="F360" s="52" t="s">
        <v>968</v>
      </c>
      <c r="H360" s="42" t="str">
        <f t="shared" si="10"/>
        <v>Instituto Teológico_Volkswagen</v>
      </c>
      <c r="I360" s="42">
        <f t="shared" si="11"/>
        <v>1</v>
      </c>
      <c r="J360" s="53">
        <f>COUNTIFS(H$2:H360, H360)-1</f>
        <v>7</v>
      </c>
      <c r="K360" s="42" cm="1">
        <f t="array" ref="K360">IF(I360=1,
    J360,
    MAX(IF(H:H=H360, J:J)) - J360
)</f>
        <v>7</v>
      </c>
    </row>
    <row r="361" spans="1:11" x14ac:dyDescent="0.2">
      <c r="A361" s="43" t="s">
        <v>43</v>
      </c>
      <c r="B361" s="44" t="s">
        <v>15</v>
      </c>
      <c r="C361" s="42">
        <f>VLOOKUP(Tabela13[[#This Row],[Origem]],Tabela1[],2,FALSE)</f>
        <v>43</v>
      </c>
      <c r="D361" s="42">
        <f>VLOOKUP(Tabela13[[#This Row],[Destino]],Tabela1[],2,FALSE)</f>
        <v>16</v>
      </c>
      <c r="E361" s="51" t="s">
        <v>308</v>
      </c>
      <c r="F361" s="52" t="s">
        <v>822</v>
      </c>
      <c r="H361" s="42" t="str">
        <f t="shared" si="10"/>
        <v>Bar Bárbaros_Lago do Quitandinha</v>
      </c>
      <c r="I361" s="42">
        <f t="shared" si="11"/>
        <v>-1</v>
      </c>
      <c r="J361" s="53">
        <f>COUNTIFS(H$2:H361, H361)-1</f>
        <v>2</v>
      </c>
      <c r="K361" s="42" cm="1">
        <f t="array" ref="K361">IF(I361=1,
    J361,
    MAX(IF(H:H=H361, J:J)) - J361
)</f>
        <v>1</v>
      </c>
    </row>
    <row r="362" spans="1:11" x14ac:dyDescent="0.2">
      <c r="A362" s="43" t="s">
        <v>43</v>
      </c>
      <c r="B362" s="44" t="s">
        <v>15</v>
      </c>
      <c r="C362" s="42">
        <f>VLOOKUP(Tabela13[[#This Row],[Origem]],Tabela1[],2,FALSE)</f>
        <v>43</v>
      </c>
      <c r="D362" s="42">
        <f>VLOOKUP(Tabela13[[#This Row],[Destino]],Tabela1[],2,FALSE)</f>
        <v>16</v>
      </c>
      <c r="E362" s="51" t="s">
        <v>309</v>
      </c>
      <c r="F362" s="52" t="s">
        <v>823</v>
      </c>
      <c r="H362" s="42" t="str">
        <f t="shared" si="10"/>
        <v>Bar Bárbaros_Lago do Quitandinha</v>
      </c>
      <c r="I362" s="42">
        <f t="shared" si="11"/>
        <v>-1</v>
      </c>
      <c r="J362" s="53">
        <f>COUNTIFS(H$2:H362, H362)-1</f>
        <v>3</v>
      </c>
      <c r="K362" s="42" cm="1">
        <f t="array" ref="K362">IF(I362=1,
    J362,
    MAX(IF(H:H=H362, J:J)) - J362
)</f>
        <v>0</v>
      </c>
    </row>
    <row r="363" spans="1:11" x14ac:dyDescent="0.2">
      <c r="A363" s="43" t="s">
        <v>43</v>
      </c>
      <c r="B363" s="44" t="s">
        <v>56</v>
      </c>
      <c r="C363" s="42">
        <f>VLOOKUP(Tabela13[[#This Row],[Origem]],Tabela1[],2,FALSE)</f>
        <v>43</v>
      </c>
      <c r="D363" s="42">
        <f>VLOOKUP(Tabela13[[#This Row],[Destino]],Tabela1[],2,FALSE)</f>
        <v>56</v>
      </c>
      <c r="E363" s="51" t="s">
        <v>456</v>
      </c>
      <c r="F363" s="52" t="s">
        <v>969</v>
      </c>
      <c r="H363" s="42" t="str">
        <f t="shared" si="10"/>
        <v>Lago do Quitandinha_Palácio Quitandinha</v>
      </c>
      <c r="I363" s="42">
        <f t="shared" si="11"/>
        <v>1</v>
      </c>
      <c r="J363" s="53">
        <f>COUNTIFS(H$2:H363, H363)-1</f>
        <v>0</v>
      </c>
      <c r="K363" s="42" cm="1">
        <f t="array" ref="K363">IF(I363=1,
    J363,
    MAX(IF(H:H=H363, J:J)) - J363
)</f>
        <v>0</v>
      </c>
    </row>
    <row r="364" spans="1:11" x14ac:dyDescent="0.2">
      <c r="A364" s="43" t="s">
        <v>43</v>
      </c>
      <c r="B364" s="44" t="s">
        <v>56</v>
      </c>
      <c r="C364" s="42">
        <f>VLOOKUP(Tabela13[[#This Row],[Origem]],Tabela1[],2,FALSE)</f>
        <v>43</v>
      </c>
      <c r="D364" s="42">
        <f>VLOOKUP(Tabela13[[#This Row],[Destino]],Tabela1[],2,FALSE)</f>
        <v>56</v>
      </c>
      <c r="E364" s="51" t="s">
        <v>457</v>
      </c>
      <c r="F364" s="52" t="s">
        <v>970</v>
      </c>
      <c r="H364" s="42" t="str">
        <f t="shared" si="10"/>
        <v>Lago do Quitandinha_Palácio Quitandinha</v>
      </c>
      <c r="I364" s="42">
        <f t="shared" si="11"/>
        <v>1</v>
      </c>
      <c r="J364" s="53">
        <f>COUNTIFS(H$2:H364, H364)-1</f>
        <v>1</v>
      </c>
      <c r="K364" s="42" cm="1">
        <f t="array" ref="K364">IF(I364=1,
    J364,
    MAX(IF(H:H=H364, J:J)) - J364
)</f>
        <v>1</v>
      </c>
    </row>
    <row r="365" spans="1:11" x14ac:dyDescent="0.2">
      <c r="A365" s="43" t="s">
        <v>43</v>
      </c>
      <c r="B365" s="44" t="s">
        <v>56</v>
      </c>
      <c r="C365" s="42">
        <f>VLOOKUP(Tabela13[[#This Row],[Origem]],Tabela1[],2,FALSE)</f>
        <v>43</v>
      </c>
      <c r="D365" s="42">
        <f>VLOOKUP(Tabela13[[#This Row],[Destino]],Tabela1[],2,FALSE)</f>
        <v>56</v>
      </c>
      <c r="E365" s="51" t="s">
        <v>458</v>
      </c>
      <c r="F365" s="52" t="s">
        <v>971</v>
      </c>
      <c r="H365" s="42" t="str">
        <f t="shared" si="10"/>
        <v>Lago do Quitandinha_Palácio Quitandinha</v>
      </c>
      <c r="I365" s="42">
        <f t="shared" si="11"/>
        <v>1</v>
      </c>
      <c r="J365" s="53">
        <f>COUNTIFS(H$2:H365, H365)-1</f>
        <v>2</v>
      </c>
      <c r="K365" s="42" cm="1">
        <f t="array" ref="K365">IF(I365=1,
    J365,
    MAX(IF(H:H=H365, J:J)) - J365
)</f>
        <v>2</v>
      </c>
    </row>
    <row r="366" spans="1:11" x14ac:dyDescent="0.2">
      <c r="A366" s="43" t="s">
        <v>43</v>
      </c>
      <c r="B366" s="44" t="s">
        <v>56</v>
      </c>
      <c r="C366" s="42">
        <f>VLOOKUP(Tabela13[[#This Row],[Origem]],Tabela1[],2,FALSE)</f>
        <v>43</v>
      </c>
      <c r="D366" s="42">
        <f>VLOOKUP(Tabela13[[#This Row],[Destino]],Tabela1[],2,FALSE)</f>
        <v>56</v>
      </c>
      <c r="E366" s="51" t="s">
        <v>459</v>
      </c>
      <c r="F366" s="52" t="s">
        <v>972</v>
      </c>
      <c r="H366" s="42" t="str">
        <f t="shared" si="10"/>
        <v>Lago do Quitandinha_Palácio Quitandinha</v>
      </c>
      <c r="I366" s="42">
        <f t="shared" si="11"/>
        <v>1</v>
      </c>
      <c r="J366" s="53">
        <f>COUNTIFS(H$2:H366, H366)-1</f>
        <v>3</v>
      </c>
      <c r="K366" s="42" cm="1">
        <f t="array" ref="K366">IF(I366=1,
    J366,
    MAX(IF(H:H=H366, J:J)) - J366
)</f>
        <v>3</v>
      </c>
    </row>
    <row r="367" spans="1:11" x14ac:dyDescent="0.2">
      <c r="A367" s="43" t="s">
        <v>43</v>
      </c>
      <c r="B367" s="44" t="s">
        <v>56</v>
      </c>
      <c r="C367" s="42">
        <f>VLOOKUP(Tabela13[[#This Row],[Origem]],Tabela1[],2,FALSE)</f>
        <v>43</v>
      </c>
      <c r="D367" s="42">
        <f>VLOOKUP(Tabela13[[#This Row],[Destino]],Tabela1[],2,FALSE)</f>
        <v>56</v>
      </c>
      <c r="E367" s="51" t="s">
        <v>460</v>
      </c>
      <c r="F367" s="52" t="s">
        <v>973</v>
      </c>
      <c r="H367" s="42" t="str">
        <f t="shared" si="10"/>
        <v>Lago do Quitandinha_Palácio Quitandinha</v>
      </c>
      <c r="I367" s="42">
        <f t="shared" si="11"/>
        <v>1</v>
      </c>
      <c r="J367" s="53">
        <f>COUNTIFS(H$2:H367, H367)-1</f>
        <v>4</v>
      </c>
      <c r="K367" s="42" cm="1">
        <f t="array" ref="K367">IF(I367=1,
    J367,
    MAX(IF(H:H=H367, J:J)) - J367
)</f>
        <v>4</v>
      </c>
    </row>
    <row r="368" spans="1:11" x14ac:dyDescent="0.2">
      <c r="A368" s="43" t="s">
        <v>43</v>
      </c>
      <c r="B368" s="44" t="s">
        <v>56</v>
      </c>
      <c r="C368" s="42">
        <f>VLOOKUP(Tabela13[[#This Row],[Origem]],Tabela1[],2,FALSE)</f>
        <v>43</v>
      </c>
      <c r="D368" s="42">
        <f>VLOOKUP(Tabela13[[#This Row],[Destino]],Tabela1[],2,FALSE)</f>
        <v>56</v>
      </c>
      <c r="E368" s="51" t="s">
        <v>461</v>
      </c>
      <c r="F368" s="52" t="s">
        <v>974</v>
      </c>
      <c r="H368" s="42" t="str">
        <f t="shared" si="10"/>
        <v>Lago do Quitandinha_Palácio Quitandinha</v>
      </c>
      <c r="I368" s="42">
        <f t="shared" si="11"/>
        <v>1</v>
      </c>
      <c r="J368" s="53">
        <f>COUNTIFS(H$2:H368, H368)-1</f>
        <v>5</v>
      </c>
      <c r="K368" s="42" cm="1">
        <f t="array" ref="K368">IF(I368=1,
    J368,
    MAX(IF(H:H=H368, J:J)) - J368
)</f>
        <v>5</v>
      </c>
    </row>
    <row r="369" spans="1:11" x14ac:dyDescent="0.2">
      <c r="A369" s="43" t="s">
        <v>43</v>
      </c>
      <c r="B369" s="44" t="s">
        <v>56</v>
      </c>
      <c r="C369" s="42">
        <f>VLOOKUP(Tabela13[[#This Row],[Origem]],Tabela1[],2,FALSE)</f>
        <v>43</v>
      </c>
      <c r="D369" s="42">
        <f>VLOOKUP(Tabela13[[#This Row],[Destino]],Tabela1[],2,FALSE)</f>
        <v>56</v>
      </c>
      <c r="E369" s="51" t="s">
        <v>462</v>
      </c>
      <c r="F369" s="52" t="s">
        <v>974</v>
      </c>
      <c r="H369" s="42" t="str">
        <f t="shared" si="10"/>
        <v>Lago do Quitandinha_Palácio Quitandinha</v>
      </c>
      <c r="I369" s="42">
        <f t="shared" si="11"/>
        <v>1</v>
      </c>
      <c r="J369" s="53">
        <f>COUNTIFS(H$2:H369, H369)-1</f>
        <v>6</v>
      </c>
      <c r="K369" s="42" cm="1">
        <f t="array" ref="K369">IF(I369=1,
    J369,
    MAX(IF(H:H=H369, J:J)) - J369
)</f>
        <v>6</v>
      </c>
    </row>
    <row r="370" spans="1:11" x14ac:dyDescent="0.2">
      <c r="A370" s="43" t="s">
        <v>43</v>
      </c>
      <c r="B370" s="44" t="s">
        <v>56</v>
      </c>
      <c r="C370" s="42">
        <f>VLOOKUP(Tabela13[[#This Row],[Origem]],Tabela1[],2,FALSE)</f>
        <v>43</v>
      </c>
      <c r="D370" s="42">
        <f>VLOOKUP(Tabela13[[#This Row],[Destino]],Tabela1[],2,FALSE)</f>
        <v>56</v>
      </c>
      <c r="E370" s="51" t="s">
        <v>463</v>
      </c>
      <c r="F370" s="52" t="s">
        <v>975</v>
      </c>
      <c r="H370" s="42" t="str">
        <f t="shared" si="10"/>
        <v>Lago do Quitandinha_Palácio Quitandinha</v>
      </c>
      <c r="I370" s="42">
        <f t="shared" si="11"/>
        <v>1</v>
      </c>
      <c r="J370" s="53">
        <f>COUNTIFS(H$2:H370, H370)-1</f>
        <v>7</v>
      </c>
      <c r="K370" s="42" cm="1">
        <f t="array" ref="K370">IF(I370=1,
    J370,
    MAX(IF(H:H=H370, J:J)) - J370
)</f>
        <v>7</v>
      </c>
    </row>
    <row r="371" spans="1:11" x14ac:dyDescent="0.2">
      <c r="A371" s="43" t="s">
        <v>43</v>
      </c>
      <c r="B371" s="44" t="s">
        <v>56</v>
      </c>
      <c r="C371" s="42">
        <f>VLOOKUP(Tabela13[[#This Row],[Origem]],Tabela1[],2,FALSE)</f>
        <v>43</v>
      </c>
      <c r="D371" s="42">
        <f>VLOOKUP(Tabela13[[#This Row],[Destino]],Tabela1[],2,FALSE)</f>
        <v>56</v>
      </c>
      <c r="E371" s="51" t="s">
        <v>464</v>
      </c>
      <c r="F371" s="52" t="s">
        <v>976</v>
      </c>
      <c r="H371" s="42" t="str">
        <f t="shared" si="10"/>
        <v>Lago do Quitandinha_Palácio Quitandinha</v>
      </c>
      <c r="I371" s="42">
        <f t="shared" si="11"/>
        <v>1</v>
      </c>
      <c r="J371" s="53">
        <f>COUNTIFS(H$2:H371, H371)-1</f>
        <v>8</v>
      </c>
      <c r="K371" s="42" cm="1">
        <f t="array" ref="K371">IF(I371=1,
    J371,
    MAX(IF(H:H=H371, J:J)) - J371
)</f>
        <v>8</v>
      </c>
    </row>
    <row r="372" spans="1:11" x14ac:dyDescent="0.2">
      <c r="A372" s="43" t="s">
        <v>43</v>
      </c>
      <c r="B372" s="44" t="s">
        <v>56</v>
      </c>
      <c r="C372" s="42">
        <f>VLOOKUP(Tabela13[[#This Row],[Origem]],Tabela1[],2,FALSE)</f>
        <v>43</v>
      </c>
      <c r="D372" s="42">
        <f>VLOOKUP(Tabela13[[#This Row],[Destino]],Tabela1[],2,FALSE)</f>
        <v>56</v>
      </c>
      <c r="E372" s="51" t="s">
        <v>465</v>
      </c>
      <c r="F372" s="52" t="s">
        <v>977</v>
      </c>
      <c r="H372" s="42" t="str">
        <f t="shared" si="10"/>
        <v>Lago do Quitandinha_Palácio Quitandinha</v>
      </c>
      <c r="I372" s="42">
        <f t="shared" si="11"/>
        <v>1</v>
      </c>
      <c r="J372" s="53">
        <f>COUNTIFS(H$2:H372, H372)-1</f>
        <v>9</v>
      </c>
      <c r="K372" s="42" cm="1">
        <f t="array" ref="K372">IF(I372=1,
    J372,
    MAX(IF(H:H=H372, J:J)) - J372
)</f>
        <v>9</v>
      </c>
    </row>
    <row r="373" spans="1:11" x14ac:dyDescent="0.2">
      <c r="A373" s="43" t="s">
        <v>43</v>
      </c>
      <c r="B373" s="44" t="s">
        <v>56</v>
      </c>
      <c r="C373" s="42">
        <f>VLOOKUP(Tabela13[[#This Row],[Origem]],Tabela1[],2,FALSE)</f>
        <v>43</v>
      </c>
      <c r="D373" s="42">
        <f>VLOOKUP(Tabela13[[#This Row],[Destino]],Tabela1[],2,FALSE)</f>
        <v>56</v>
      </c>
      <c r="E373" s="51" t="s">
        <v>466</v>
      </c>
      <c r="F373" s="52" t="s">
        <v>978</v>
      </c>
      <c r="H373" s="42" t="str">
        <f t="shared" si="10"/>
        <v>Lago do Quitandinha_Palácio Quitandinha</v>
      </c>
      <c r="I373" s="42">
        <f t="shared" si="11"/>
        <v>1</v>
      </c>
      <c r="J373" s="53">
        <f>COUNTIFS(H$2:H373, H373)-1</f>
        <v>10</v>
      </c>
      <c r="K373" s="42" cm="1">
        <f t="array" ref="K373">IF(I373=1,
    J373,
    MAX(IF(H:H=H373, J:J)) - J373
)</f>
        <v>10</v>
      </c>
    </row>
    <row r="374" spans="1:11" x14ac:dyDescent="0.2">
      <c r="A374" s="43" t="s">
        <v>43</v>
      </c>
      <c r="B374" s="44" t="s">
        <v>86</v>
      </c>
      <c r="C374" s="42">
        <f>VLOOKUP(Tabela13[[#This Row],[Origem]],Tabela1[],2,FALSE)</f>
        <v>43</v>
      </c>
      <c r="D374" s="42">
        <f>VLOOKUP(Tabela13[[#This Row],[Destino]],Tabela1[],2,FALSE)</f>
        <v>86</v>
      </c>
      <c r="E374" s="51" t="s">
        <v>467</v>
      </c>
      <c r="F374" s="52" t="s">
        <v>979</v>
      </c>
      <c r="H374" s="42" t="str">
        <f t="shared" si="10"/>
        <v>Lago do Quitandinha_Rua Dr. Thouzet</v>
      </c>
      <c r="I374" s="42">
        <f t="shared" si="11"/>
        <v>1</v>
      </c>
      <c r="J374" s="53">
        <f>COUNTIFS(H$2:H374, H374)-1</f>
        <v>0</v>
      </c>
      <c r="K374" s="42" cm="1">
        <f t="array" ref="K374">IF(I374=1,
    J374,
    MAX(IF(H:H=H374, J:J)) - J374
)</f>
        <v>0</v>
      </c>
    </row>
    <row r="375" spans="1:11" x14ac:dyDescent="0.2">
      <c r="A375" s="43" t="s">
        <v>43</v>
      </c>
      <c r="B375" s="44" t="s">
        <v>86</v>
      </c>
      <c r="C375" s="42">
        <f>VLOOKUP(Tabela13[[#This Row],[Origem]],Tabela1[],2,FALSE)</f>
        <v>43</v>
      </c>
      <c r="D375" s="42">
        <f>VLOOKUP(Tabela13[[#This Row],[Destino]],Tabela1[],2,FALSE)</f>
        <v>86</v>
      </c>
      <c r="E375" s="51" t="s">
        <v>468</v>
      </c>
      <c r="F375" s="52" t="s">
        <v>980</v>
      </c>
      <c r="H375" s="42" t="str">
        <f t="shared" si="10"/>
        <v>Lago do Quitandinha_Rua Dr. Thouzet</v>
      </c>
      <c r="I375" s="42">
        <f t="shared" si="11"/>
        <v>1</v>
      </c>
      <c r="J375" s="53">
        <f>COUNTIFS(H$2:H375, H375)-1</f>
        <v>1</v>
      </c>
      <c r="K375" s="42" cm="1">
        <f t="array" ref="K375">IF(I375=1,
    J375,
    MAX(IF(H:H=H375, J:J)) - J375
)</f>
        <v>1</v>
      </c>
    </row>
    <row r="376" spans="1:11" x14ac:dyDescent="0.2">
      <c r="A376" s="43" t="s">
        <v>43</v>
      </c>
      <c r="B376" s="44" t="s">
        <v>86</v>
      </c>
      <c r="C376" s="42">
        <f>VLOOKUP(Tabela13[[#This Row],[Origem]],Tabela1[],2,FALSE)</f>
        <v>43</v>
      </c>
      <c r="D376" s="42">
        <f>VLOOKUP(Tabela13[[#This Row],[Destino]],Tabela1[],2,FALSE)</f>
        <v>86</v>
      </c>
      <c r="E376" s="51" t="s">
        <v>469</v>
      </c>
      <c r="F376" s="52" t="s">
        <v>981</v>
      </c>
      <c r="H376" s="42" t="str">
        <f t="shared" si="10"/>
        <v>Lago do Quitandinha_Rua Dr. Thouzet</v>
      </c>
      <c r="I376" s="42">
        <f t="shared" si="11"/>
        <v>1</v>
      </c>
      <c r="J376" s="53">
        <f>COUNTIFS(H$2:H376, H376)-1</f>
        <v>2</v>
      </c>
      <c r="K376" s="42" cm="1">
        <f t="array" ref="K376">IF(I376=1,
    J376,
    MAX(IF(H:H=H376, J:J)) - J376
)</f>
        <v>2</v>
      </c>
    </row>
    <row r="377" spans="1:11" x14ac:dyDescent="0.2">
      <c r="A377" s="43" t="s">
        <v>43</v>
      </c>
      <c r="B377" s="44" t="s">
        <v>86</v>
      </c>
      <c r="C377" s="42">
        <f>VLOOKUP(Tabela13[[#This Row],[Origem]],Tabela1[],2,FALSE)</f>
        <v>43</v>
      </c>
      <c r="D377" s="42">
        <f>VLOOKUP(Tabela13[[#This Row],[Destino]],Tabela1[],2,FALSE)</f>
        <v>86</v>
      </c>
      <c r="E377" s="51" t="s">
        <v>470</v>
      </c>
      <c r="F377" s="52" t="s">
        <v>982</v>
      </c>
      <c r="H377" s="42" t="str">
        <f t="shared" si="10"/>
        <v>Lago do Quitandinha_Rua Dr. Thouzet</v>
      </c>
      <c r="I377" s="42">
        <f t="shared" si="11"/>
        <v>1</v>
      </c>
      <c r="J377" s="53">
        <f>COUNTIFS(H$2:H377, H377)-1</f>
        <v>3</v>
      </c>
      <c r="K377" s="42" cm="1">
        <f t="array" ref="K377">IF(I377=1,
    J377,
    MAX(IF(H:H=H377, J:J)) - J377
)</f>
        <v>3</v>
      </c>
    </row>
    <row r="378" spans="1:11" x14ac:dyDescent="0.2">
      <c r="A378" s="43" t="s">
        <v>43</v>
      </c>
      <c r="B378" s="44" t="s">
        <v>86</v>
      </c>
      <c r="C378" s="42">
        <f>VLOOKUP(Tabela13[[#This Row],[Origem]],Tabela1[],2,FALSE)</f>
        <v>43</v>
      </c>
      <c r="D378" s="42">
        <f>VLOOKUP(Tabela13[[#This Row],[Destino]],Tabela1[],2,FALSE)</f>
        <v>86</v>
      </c>
      <c r="E378" s="51" t="s">
        <v>471</v>
      </c>
      <c r="F378" s="52" t="s">
        <v>983</v>
      </c>
      <c r="H378" s="42" t="str">
        <f t="shared" si="10"/>
        <v>Lago do Quitandinha_Rua Dr. Thouzet</v>
      </c>
      <c r="I378" s="42">
        <f t="shared" si="11"/>
        <v>1</v>
      </c>
      <c r="J378" s="53">
        <f>COUNTIFS(H$2:H378, H378)-1</f>
        <v>4</v>
      </c>
      <c r="K378" s="42" cm="1">
        <f t="array" ref="K378">IF(I378=1,
    J378,
    MAX(IF(H:H=H378, J:J)) - J378
)</f>
        <v>4</v>
      </c>
    </row>
    <row r="379" spans="1:11" x14ac:dyDescent="0.2">
      <c r="A379" s="43" t="s">
        <v>43</v>
      </c>
      <c r="B379" s="44" t="s">
        <v>86</v>
      </c>
      <c r="C379" s="42">
        <f>VLOOKUP(Tabela13[[#This Row],[Origem]],Tabela1[],2,FALSE)</f>
        <v>43</v>
      </c>
      <c r="D379" s="42">
        <f>VLOOKUP(Tabela13[[#This Row],[Destino]],Tabela1[],2,FALSE)</f>
        <v>86</v>
      </c>
      <c r="E379" s="51" t="s">
        <v>472</v>
      </c>
      <c r="F379" s="52" t="s">
        <v>984</v>
      </c>
      <c r="H379" s="42" t="str">
        <f t="shared" si="10"/>
        <v>Lago do Quitandinha_Rua Dr. Thouzet</v>
      </c>
      <c r="I379" s="42">
        <f t="shared" si="11"/>
        <v>1</v>
      </c>
      <c r="J379" s="53">
        <f>COUNTIFS(H$2:H379, H379)-1</f>
        <v>5</v>
      </c>
      <c r="K379" s="42" cm="1">
        <f t="array" ref="K379">IF(I379=1,
    J379,
    MAX(IF(H:H=H379, J:J)) - J379
)</f>
        <v>5</v>
      </c>
    </row>
    <row r="380" spans="1:11" x14ac:dyDescent="0.2">
      <c r="A380" s="43" t="s">
        <v>43</v>
      </c>
      <c r="B380" s="44" t="s">
        <v>86</v>
      </c>
      <c r="C380" s="42">
        <f>VLOOKUP(Tabela13[[#This Row],[Origem]],Tabela1[],2,FALSE)</f>
        <v>43</v>
      </c>
      <c r="D380" s="42">
        <f>VLOOKUP(Tabela13[[#This Row],[Destino]],Tabela1[],2,FALSE)</f>
        <v>86</v>
      </c>
      <c r="E380" s="51" t="s">
        <v>473</v>
      </c>
      <c r="F380" s="52" t="s">
        <v>985</v>
      </c>
      <c r="H380" s="42" t="str">
        <f t="shared" si="10"/>
        <v>Lago do Quitandinha_Rua Dr. Thouzet</v>
      </c>
      <c r="I380" s="42">
        <f t="shared" si="11"/>
        <v>1</v>
      </c>
      <c r="J380" s="53">
        <f>COUNTIFS(H$2:H380, H380)-1</f>
        <v>6</v>
      </c>
      <c r="K380" s="42" cm="1">
        <f t="array" ref="K380">IF(I380=1,
    J380,
    MAX(IF(H:H=H380, J:J)) - J380
)</f>
        <v>6</v>
      </c>
    </row>
    <row r="381" spans="1:11" x14ac:dyDescent="0.2">
      <c r="A381" s="43" t="s">
        <v>43</v>
      </c>
      <c r="B381" s="44" t="s">
        <v>86</v>
      </c>
      <c r="C381" s="42">
        <f>VLOOKUP(Tabela13[[#This Row],[Origem]],Tabela1[],2,FALSE)</f>
        <v>43</v>
      </c>
      <c r="D381" s="42">
        <f>VLOOKUP(Tabela13[[#This Row],[Destino]],Tabela1[],2,FALSE)</f>
        <v>86</v>
      </c>
      <c r="E381" s="51" t="s">
        <v>474</v>
      </c>
      <c r="F381" s="52" t="s">
        <v>986</v>
      </c>
      <c r="H381" s="42" t="str">
        <f t="shared" si="10"/>
        <v>Lago do Quitandinha_Rua Dr. Thouzet</v>
      </c>
      <c r="I381" s="42">
        <f t="shared" si="11"/>
        <v>1</v>
      </c>
      <c r="J381" s="53">
        <f>COUNTIFS(H$2:H381, H381)-1</f>
        <v>7</v>
      </c>
      <c r="K381" s="42" cm="1">
        <f t="array" ref="K381">IF(I381=1,
    J381,
    MAX(IF(H:H=H381, J:J)) - J381
)</f>
        <v>7</v>
      </c>
    </row>
    <row r="382" spans="1:11" x14ac:dyDescent="0.2">
      <c r="A382" s="43" t="s">
        <v>43</v>
      </c>
      <c r="B382" s="44" t="s">
        <v>86</v>
      </c>
      <c r="C382" s="42">
        <f>VLOOKUP(Tabela13[[#This Row],[Origem]],Tabela1[],2,FALSE)</f>
        <v>43</v>
      </c>
      <c r="D382" s="42">
        <f>VLOOKUP(Tabela13[[#This Row],[Destino]],Tabela1[],2,FALSE)</f>
        <v>86</v>
      </c>
      <c r="E382" s="51" t="s">
        <v>475</v>
      </c>
      <c r="F382" s="52" t="s">
        <v>987</v>
      </c>
      <c r="H382" s="42" t="str">
        <f t="shared" si="10"/>
        <v>Lago do Quitandinha_Rua Dr. Thouzet</v>
      </c>
      <c r="I382" s="42">
        <f t="shared" si="11"/>
        <v>1</v>
      </c>
      <c r="J382" s="53">
        <f>COUNTIFS(H$2:H382, H382)-1</f>
        <v>8</v>
      </c>
      <c r="K382" s="42" cm="1">
        <f t="array" ref="K382">IF(I382=1,
    J382,
    MAX(IF(H:H=H382, J:J)) - J382
)</f>
        <v>8</v>
      </c>
    </row>
    <row r="383" spans="1:11" x14ac:dyDescent="0.2">
      <c r="A383" s="43" t="s">
        <v>43</v>
      </c>
      <c r="B383" s="44" t="s">
        <v>86</v>
      </c>
      <c r="C383" s="42">
        <f>VLOOKUP(Tabela13[[#This Row],[Origem]],Tabela1[],2,FALSE)</f>
        <v>43</v>
      </c>
      <c r="D383" s="42">
        <f>VLOOKUP(Tabela13[[#This Row],[Destino]],Tabela1[],2,FALSE)</f>
        <v>86</v>
      </c>
      <c r="E383" s="51" t="s">
        <v>476</v>
      </c>
      <c r="F383" s="52" t="s">
        <v>988</v>
      </c>
      <c r="H383" s="42" t="str">
        <f t="shared" si="10"/>
        <v>Lago do Quitandinha_Rua Dr. Thouzet</v>
      </c>
      <c r="I383" s="42">
        <f t="shared" si="11"/>
        <v>1</v>
      </c>
      <c r="J383" s="53">
        <f>COUNTIFS(H$2:H383, H383)-1</f>
        <v>9</v>
      </c>
      <c r="K383" s="42" cm="1">
        <f t="array" ref="K383">IF(I383=1,
    J383,
    MAX(IF(H:H=H383, J:J)) - J383
)</f>
        <v>9</v>
      </c>
    </row>
    <row r="384" spans="1:11" hidden="1" x14ac:dyDescent="0.2">
      <c r="A384" s="43" t="s">
        <v>44</v>
      </c>
      <c r="B384" s="44" t="s">
        <v>87</v>
      </c>
      <c r="C384" s="42">
        <f>VLOOKUP(Tabela13[[#This Row],[Origem]],Tabela1[],2,FALSE)</f>
        <v>44</v>
      </c>
      <c r="D384" s="42">
        <f>VLOOKUP(Tabela13[[#This Row],[Destino]],Tabela1[],2,FALSE)</f>
        <v>87</v>
      </c>
      <c r="E384" s="51" t="s">
        <v>188</v>
      </c>
      <c r="F384" s="52" t="s">
        <v>189</v>
      </c>
      <c r="H384" s="42" t="str">
        <f t="shared" si="10"/>
        <v>Loja Aladim_Rua General Osório</v>
      </c>
      <c r="I384" s="42">
        <f t="shared" si="11"/>
        <v>1</v>
      </c>
      <c r="J384" s="53">
        <f>COUNTIFS(H$2:H384, H384)-1</f>
        <v>0</v>
      </c>
      <c r="K384" s="42" cm="1">
        <f t="array" ref="K384">IF(I384=1,
    J384,
    MAX(IF(H:H=H384, J:J)) - J384
)</f>
        <v>0</v>
      </c>
    </row>
    <row r="385" spans="1:11" x14ac:dyDescent="0.2">
      <c r="A385" s="43" t="s">
        <v>44</v>
      </c>
      <c r="B385" s="44" t="s">
        <v>85</v>
      </c>
      <c r="C385" s="42">
        <f>VLOOKUP(Tabela13[[#This Row],[Origem]],Tabela1[],2,FALSE)</f>
        <v>44</v>
      </c>
      <c r="D385" s="42">
        <f>VLOOKUP(Tabela13[[#This Row],[Destino]],Tabela1[],2,FALSE)</f>
        <v>85</v>
      </c>
      <c r="E385" s="51" t="s">
        <v>477</v>
      </c>
      <c r="F385" s="52" t="s">
        <v>989</v>
      </c>
      <c r="H385" s="42" t="str">
        <f t="shared" si="10"/>
        <v>Loja Aladim_Rua Dr. Nelson de Sá Erp</v>
      </c>
      <c r="I385" s="42">
        <f t="shared" si="11"/>
        <v>1</v>
      </c>
      <c r="J385" s="53">
        <f>COUNTIFS(H$2:H385, H385)-1</f>
        <v>0</v>
      </c>
      <c r="K385" s="42" cm="1">
        <f t="array" ref="K385">IF(I385=1,
    J385,
    MAX(IF(H:H=H385, J:J)) - J385
)</f>
        <v>0</v>
      </c>
    </row>
    <row r="386" spans="1:11" hidden="1" x14ac:dyDescent="0.2">
      <c r="A386" s="43" t="s">
        <v>45</v>
      </c>
      <c r="B386" s="44" t="s">
        <v>41</v>
      </c>
      <c r="C386" s="42">
        <f>VLOOKUP(Tabela13[[#This Row],[Origem]],Tabela1[],2,FALSE)</f>
        <v>45</v>
      </c>
      <c r="D386" s="42">
        <f>VLOOKUP(Tabela13[[#This Row],[Destino]],Tabela1[],2,FALSE)</f>
        <v>41</v>
      </c>
      <c r="E386" s="51" t="s">
        <v>188</v>
      </c>
      <c r="F386" s="52" t="s">
        <v>189</v>
      </c>
      <c r="H386" s="42" t="str">
        <f t="shared" ref="H386:H449" si="12">IF(A386&lt;B386, A386&amp;"_"&amp;B386, B386&amp;"_"&amp;A386)</f>
        <v>INSS_Loja Americanas</v>
      </c>
      <c r="I386" s="42">
        <f t="shared" ref="I386:I449" si="13">IF(A386&lt;B386, 1, -1)</f>
        <v>-1</v>
      </c>
      <c r="J386" s="53">
        <f>COUNTIFS(H$2:H386, H386)-1</f>
        <v>0</v>
      </c>
      <c r="K386" s="42" cm="1">
        <f t="array" ref="K386">IF(I386=1,
    J386,
    MAX(IF(H:H=H386, J:J)) - J386
)</f>
        <v>0</v>
      </c>
    </row>
    <row r="387" spans="1:11" hidden="1" x14ac:dyDescent="0.2">
      <c r="A387" s="43" t="s">
        <v>45</v>
      </c>
      <c r="B387" s="45" t="s">
        <v>66</v>
      </c>
      <c r="C387" s="42">
        <f>VLOOKUP(Tabela13[[#This Row],[Origem]],Tabela1[],2,FALSE)</f>
        <v>45</v>
      </c>
      <c r="D387" s="42">
        <f>VLOOKUP(Tabela13[[#This Row],[Destino]],Tabela1[],2,FALSE)</f>
        <v>66</v>
      </c>
      <c r="E387" s="51" t="s">
        <v>188</v>
      </c>
      <c r="F387" s="52" t="s">
        <v>189</v>
      </c>
      <c r="H387" s="42" t="str">
        <f t="shared" si="12"/>
        <v>Loja Americanas_Praça dos Expedicionários</v>
      </c>
      <c r="I387" s="42">
        <f t="shared" si="13"/>
        <v>1</v>
      </c>
      <c r="J387" s="53">
        <f>COUNTIFS(H$2:H387, H387)-1</f>
        <v>0</v>
      </c>
      <c r="K387" s="42" cm="1">
        <f t="array" ref="K387">IF(I387=1,
    J387,
    MAX(IF(H:H=H387, J:J)) - J387
)</f>
        <v>0</v>
      </c>
    </row>
    <row r="388" spans="1:11" hidden="1" x14ac:dyDescent="0.2">
      <c r="A388" s="43" t="s">
        <v>46</v>
      </c>
      <c r="B388" s="44" t="s">
        <v>29</v>
      </c>
      <c r="C388" s="42">
        <f>VLOOKUP(Tabela13[[#This Row],[Origem]],Tabela1[],2,FALSE)</f>
        <v>46</v>
      </c>
      <c r="D388" s="42">
        <f>VLOOKUP(Tabela13[[#This Row],[Destino]],Tabela1[],2,FALSE)</f>
        <v>29</v>
      </c>
      <c r="E388" s="51" t="s">
        <v>188</v>
      </c>
      <c r="F388" s="52" t="s">
        <v>189</v>
      </c>
      <c r="H388" s="42" t="str">
        <f t="shared" si="12"/>
        <v>Correio_Loja Casa &amp; Vídeo</v>
      </c>
      <c r="I388" s="42">
        <f t="shared" si="13"/>
        <v>-1</v>
      </c>
      <c r="J388" s="53">
        <f>COUNTIFS(H$2:H388, H388)-1</f>
        <v>0</v>
      </c>
      <c r="K388" s="42" cm="1">
        <f t="array" ref="K388">IF(I388=1,
    J388,
    MAX(IF(H:H=H388, J:J)) - J388
)</f>
        <v>0</v>
      </c>
    </row>
    <row r="389" spans="1:11" hidden="1" x14ac:dyDescent="0.2">
      <c r="A389" s="43" t="s">
        <v>46</v>
      </c>
      <c r="B389" s="44" t="s">
        <v>93</v>
      </c>
      <c r="C389" s="42">
        <f>VLOOKUP(Tabela13[[#This Row],[Origem]],Tabela1[],2,FALSE)</f>
        <v>46</v>
      </c>
      <c r="D389" s="42">
        <f>VLOOKUP(Tabela13[[#This Row],[Destino]],Tabela1[],2,FALSE)</f>
        <v>93</v>
      </c>
      <c r="E389" s="51" t="s">
        <v>188</v>
      </c>
      <c r="F389" s="52" t="s">
        <v>189</v>
      </c>
      <c r="H389" s="42" t="str">
        <f t="shared" si="12"/>
        <v>Loja Casa &amp; Vídeo_Rua Paulo Barbosa</v>
      </c>
      <c r="I389" s="42">
        <f t="shared" si="13"/>
        <v>1</v>
      </c>
      <c r="J389" s="53">
        <f>COUNTIFS(H$2:H389, H389)-1</f>
        <v>0</v>
      </c>
      <c r="K389" s="42" cm="1">
        <f t="array" ref="K389">IF(I389=1,
    J389,
    MAX(IF(H:H=H389, J:J)) - J389
)</f>
        <v>0</v>
      </c>
    </row>
    <row r="390" spans="1:11" x14ac:dyDescent="0.2">
      <c r="A390" s="43" t="s">
        <v>47</v>
      </c>
      <c r="B390" s="44" t="s">
        <v>107</v>
      </c>
      <c r="C390" s="42">
        <f>VLOOKUP(Tabela13[[#This Row],[Origem]],Tabela1[],2,FALSE)</f>
        <v>47</v>
      </c>
      <c r="D390" s="42">
        <f>VLOOKUP(Tabela13[[#This Row],[Destino]],Tabela1[],2,FALSE)</f>
        <v>107</v>
      </c>
      <c r="E390" s="51" t="s">
        <v>478</v>
      </c>
      <c r="F390" s="52" t="s">
        <v>990</v>
      </c>
      <c r="H390" s="42" t="str">
        <f t="shared" si="12"/>
        <v>Loja Patrone_Volkswagen</v>
      </c>
      <c r="I390" s="42">
        <f t="shared" si="13"/>
        <v>1</v>
      </c>
      <c r="J390" s="53">
        <f>COUNTIFS(H$2:H390, H390)-1</f>
        <v>0</v>
      </c>
      <c r="K390" s="42" cm="1">
        <f t="array" ref="K390">IF(I390=1,
    J390,
    MAX(IF(H:H=H390, J:J)) - J390
)</f>
        <v>0</v>
      </c>
    </row>
    <row r="391" spans="1:11" x14ac:dyDescent="0.2">
      <c r="A391" s="43" t="s">
        <v>47</v>
      </c>
      <c r="B391" s="44" t="s">
        <v>10</v>
      </c>
      <c r="C391" s="42">
        <f>VLOOKUP(Tabela13[[#This Row],[Origem]],Tabela1[],2,FALSE)</f>
        <v>47</v>
      </c>
      <c r="D391" s="42">
        <f>VLOOKUP(Tabela13[[#This Row],[Destino]],Tabela1[],2,FALSE)</f>
        <v>11</v>
      </c>
      <c r="E391" s="51" t="s">
        <v>244</v>
      </c>
      <c r="F391" s="52" t="s">
        <v>757</v>
      </c>
      <c r="H391" s="42" t="str">
        <f t="shared" si="12"/>
        <v>Bairro Castelânea_Loja Patrone</v>
      </c>
      <c r="I391" s="42">
        <f t="shared" si="13"/>
        <v>-1</v>
      </c>
      <c r="J391" s="53">
        <f>COUNTIFS(H$2:H391, H391)-1</f>
        <v>3</v>
      </c>
      <c r="K391" s="42" cm="1">
        <f t="array" ref="K391">IF(I391=1,
    J391,
    MAX(IF(H:H=H391, J:J)) - J391
)</f>
        <v>2</v>
      </c>
    </row>
    <row r="392" spans="1:11" x14ac:dyDescent="0.2">
      <c r="A392" s="43" t="s">
        <v>47</v>
      </c>
      <c r="B392" s="44" t="s">
        <v>10</v>
      </c>
      <c r="C392" s="42">
        <f>VLOOKUP(Tabela13[[#This Row],[Origem]],Tabela1[],2,FALSE)</f>
        <v>47</v>
      </c>
      <c r="D392" s="42">
        <f>VLOOKUP(Tabela13[[#This Row],[Destino]],Tabela1[],2,FALSE)</f>
        <v>11</v>
      </c>
      <c r="E392" s="51" t="s">
        <v>245</v>
      </c>
      <c r="F392" s="52" t="s">
        <v>758</v>
      </c>
      <c r="H392" s="42" t="str">
        <f t="shared" si="12"/>
        <v>Bairro Castelânea_Loja Patrone</v>
      </c>
      <c r="I392" s="42">
        <f t="shared" si="13"/>
        <v>-1</v>
      </c>
      <c r="J392" s="53">
        <f>COUNTIFS(H$2:H392, H392)-1</f>
        <v>4</v>
      </c>
      <c r="K392" s="42" cm="1">
        <f t="array" ref="K392">IF(I392=1,
    J392,
    MAX(IF(H:H=H392, J:J)) - J392
)</f>
        <v>1</v>
      </c>
    </row>
    <row r="393" spans="1:11" x14ac:dyDescent="0.2">
      <c r="A393" s="43" t="s">
        <v>47</v>
      </c>
      <c r="B393" s="44" t="s">
        <v>10</v>
      </c>
      <c r="C393" s="42">
        <f>VLOOKUP(Tabela13[[#This Row],[Origem]],Tabela1[],2,FALSE)</f>
        <v>47</v>
      </c>
      <c r="D393" s="42">
        <f>VLOOKUP(Tabela13[[#This Row],[Destino]],Tabela1[],2,FALSE)</f>
        <v>11</v>
      </c>
      <c r="E393" s="51" t="s">
        <v>246</v>
      </c>
      <c r="F393" s="52" t="s">
        <v>759</v>
      </c>
      <c r="H393" s="42" t="str">
        <f t="shared" si="12"/>
        <v>Bairro Castelânea_Loja Patrone</v>
      </c>
      <c r="I393" s="42">
        <f t="shared" si="13"/>
        <v>-1</v>
      </c>
      <c r="J393" s="53">
        <f>COUNTIFS(H$2:H393, H393)-1</f>
        <v>5</v>
      </c>
      <c r="K393" s="42" cm="1">
        <f t="array" ref="K393">IF(I393=1,
    J393,
    MAX(IF(H:H=H393, J:J)) - J393
)</f>
        <v>0</v>
      </c>
    </row>
    <row r="394" spans="1:11" x14ac:dyDescent="0.2">
      <c r="A394" s="43" t="s">
        <v>47</v>
      </c>
      <c r="B394" s="44" t="s">
        <v>49</v>
      </c>
      <c r="C394" s="42">
        <f>VLOOKUP(Tabela13[[#This Row],[Origem]],Tabela1[],2,FALSE)</f>
        <v>47</v>
      </c>
      <c r="D394" s="42">
        <f>VLOOKUP(Tabela13[[#This Row],[Destino]],Tabela1[],2,FALSE)</f>
        <v>49</v>
      </c>
      <c r="E394" s="51" t="s">
        <v>479</v>
      </c>
      <c r="F394" s="52" t="s">
        <v>991</v>
      </c>
      <c r="H394" s="42" t="str">
        <f t="shared" si="12"/>
        <v>Loja Patrone_Museu Cocco Barçante</v>
      </c>
      <c r="I394" s="42">
        <f t="shared" si="13"/>
        <v>1</v>
      </c>
      <c r="J394" s="53">
        <f>COUNTIFS(H$2:H394, H394)-1</f>
        <v>0</v>
      </c>
      <c r="K394" s="42" cm="1">
        <f t="array" ref="K394">IF(I394=1,
    J394,
    MAX(IF(H:H=H394, J:J)) - J394
)</f>
        <v>0</v>
      </c>
    </row>
    <row r="395" spans="1:11" x14ac:dyDescent="0.2">
      <c r="A395" s="43" t="s">
        <v>47</v>
      </c>
      <c r="B395" s="44" t="s">
        <v>49</v>
      </c>
      <c r="C395" s="42">
        <f>VLOOKUP(Tabela13[[#This Row],[Origem]],Tabela1[],2,FALSE)</f>
        <v>47</v>
      </c>
      <c r="D395" s="42">
        <f>VLOOKUP(Tabela13[[#This Row],[Destino]],Tabela1[],2,FALSE)</f>
        <v>49</v>
      </c>
      <c r="E395" s="51" t="s">
        <v>480</v>
      </c>
      <c r="F395" s="52" t="s">
        <v>992</v>
      </c>
      <c r="H395" s="42" t="str">
        <f t="shared" si="12"/>
        <v>Loja Patrone_Museu Cocco Barçante</v>
      </c>
      <c r="I395" s="42">
        <f t="shared" si="13"/>
        <v>1</v>
      </c>
      <c r="J395" s="53">
        <f>COUNTIFS(H$2:H395, H395)-1</f>
        <v>1</v>
      </c>
      <c r="K395" s="42" cm="1">
        <f t="array" ref="K395">IF(I395=1,
    J395,
    MAX(IF(H:H=H395, J:J)) - J395
)</f>
        <v>1</v>
      </c>
    </row>
    <row r="396" spans="1:11" x14ac:dyDescent="0.2">
      <c r="A396" s="43" t="s">
        <v>47</v>
      </c>
      <c r="B396" s="44" t="s">
        <v>49</v>
      </c>
      <c r="C396" s="42">
        <f>VLOOKUP(Tabela13[[#This Row],[Origem]],Tabela1[],2,FALSE)</f>
        <v>47</v>
      </c>
      <c r="D396" s="42">
        <f>VLOOKUP(Tabela13[[#This Row],[Destino]],Tabela1[],2,FALSE)</f>
        <v>49</v>
      </c>
      <c r="E396" s="51" t="s">
        <v>481</v>
      </c>
      <c r="F396" s="52" t="s">
        <v>993</v>
      </c>
      <c r="H396" s="42" t="str">
        <f t="shared" si="12"/>
        <v>Loja Patrone_Museu Cocco Barçante</v>
      </c>
      <c r="I396" s="42">
        <f t="shared" si="13"/>
        <v>1</v>
      </c>
      <c r="J396" s="53">
        <f>COUNTIFS(H$2:H396, H396)-1</f>
        <v>2</v>
      </c>
      <c r="K396" s="42" cm="1">
        <f t="array" ref="K396">IF(I396=1,
    J396,
    MAX(IF(H:H=H396, J:J)) - J396
)</f>
        <v>2</v>
      </c>
    </row>
    <row r="397" spans="1:11" x14ac:dyDescent="0.2">
      <c r="A397" s="43" t="s">
        <v>47</v>
      </c>
      <c r="B397" s="44" t="s">
        <v>49</v>
      </c>
      <c r="C397" s="42">
        <f>VLOOKUP(Tabela13[[#This Row],[Origem]],Tabela1[],2,FALSE)</f>
        <v>47</v>
      </c>
      <c r="D397" s="42">
        <f>VLOOKUP(Tabela13[[#This Row],[Destino]],Tabela1[],2,FALSE)</f>
        <v>49</v>
      </c>
      <c r="E397" s="51" t="s">
        <v>482</v>
      </c>
      <c r="F397" s="52" t="s">
        <v>994</v>
      </c>
      <c r="H397" s="42" t="str">
        <f t="shared" si="12"/>
        <v>Loja Patrone_Museu Cocco Barçante</v>
      </c>
      <c r="I397" s="42">
        <f t="shared" si="13"/>
        <v>1</v>
      </c>
      <c r="J397" s="53">
        <f>COUNTIFS(H$2:H397, H397)-1</f>
        <v>3</v>
      </c>
      <c r="K397" s="42" cm="1">
        <f t="array" ref="K397">IF(I397=1,
    J397,
    MAX(IF(H:H=H397, J:J)) - J397
)</f>
        <v>3</v>
      </c>
    </row>
    <row r="398" spans="1:11" x14ac:dyDescent="0.2">
      <c r="A398" s="43" t="s">
        <v>47</v>
      </c>
      <c r="B398" s="44" t="s">
        <v>49</v>
      </c>
      <c r="C398" s="42">
        <f>VLOOKUP(Tabela13[[#This Row],[Origem]],Tabela1[],2,FALSE)</f>
        <v>47</v>
      </c>
      <c r="D398" s="42">
        <f>VLOOKUP(Tabela13[[#This Row],[Destino]],Tabela1[],2,FALSE)</f>
        <v>49</v>
      </c>
      <c r="E398" s="51" t="s">
        <v>483</v>
      </c>
      <c r="F398" s="52" t="s">
        <v>995</v>
      </c>
      <c r="H398" s="42" t="str">
        <f t="shared" si="12"/>
        <v>Loja Patrone_Museu Cocco Barçante</v>
      </c>
      <c r="I398" s="42">
        <f t="shared" si="13"/>
        <v>1</v>
      </c>
      <c r="J398" s="53">
        <f>COUNTIFS(H$2:H398, H398)-1</f>
        <v>4</v>
      </c>
      <c r="K398" s="42" cm="1">
        <f t="array" ref="K398">IF(I398=1,
    J398,
    MAX(IF(H:H=H398, J:J)) - J398
)</f>
        <v>4</v>
      </c>
    </row>
    <row r="399" spans="1:11" hidden="1" x14ac:dyDescent="0.2">
      <c r="A399" s="43" t="s">
        <v>48</v>
      </c>
      <c r="B399" s="44" t="s">
        <v>52</v>
      </c>
      <c r="C399" s="42">
        <f>VLOOKUP(Tabela13[[#This Row],[Origem]],Tabela1[],2,FALSE)</f>
        <v>48</v>
      </c>
      <c r="D399" s="42">
        <f>VLOOKUP(Tabela13[[#This Row],[Destino]],Tabela1[],2,FALSE)</f>
        <v>52</v>
      </c>
      <c r="E399" s="51" t="s">
        <v>188</v>
      </c>
      <c r="F399" s="52" t="s">
        <v>189</v>
      </c>
      <c r="H399" s="42" t="str">
        <f t="shared" si="12"/>
        <v>Mercado PetroFrutas_Obelisco</v>
      </c>
      <c r="I399" s="42">
        <f t="shared" si="13"/>
        <v>1</v>
      </c>
      <c r="J399" s="53">
        <f>COUNTIFS(H$2:H399, H399)-1</f>
        <v>0</v>
      </c>
      <c r="K399" s="42" cm="1">
        <f t="array" ref="K399">IF(I399=1,
    J399,
    MAX(IF(H:H=H399, J:J)) - J399
)</f>
        <v>0</v>
      </c>
    </row>
    <row r="400" spans="1:11" x14ac:dyDescent="0.2">
      <c r="A400" s="43" t="s">
        <v>49</v>
      </c>
      <c r="B400" s="44" t="s">
        <v>59</v>
      </c>
      <c r="C400" s="42">
        <f>VLOOKUP(Tabela13[[#This Row],[Origem]],Tabela1[],2,FALSE)</f>
        <v>49</v>
      </c>
      <c r="D400" s="42">
        <f>VLOOKUP(Tabela13[[#This Row],[Destino]],Tabela1[],2,FALSE)</f>
        <v>59</v>
      </c>
      <c r="E400" s="51" t="s">
        <v>484</v>
      </c>
      <c r="F400" s="52" t="s">
        <v>996</v>
      </c>
      <c r="H400" s="42" t="str">
        <f t="shared" si="12"/>
        <v>Museu Cocco Barçante_Ponte Fones</v>
      </c>
      <c r="I400" s="42">
        <f t="shared" si="13"/>
        <v>1</v>
      </c>
      <c r="J400" s="53">
        <f>COUNTIFS(H$2:H400, H400)-1</f>
        <v>0</v>
      </c>
      <c r="K400" s="42" cm="1">
        <f t="array" ref="K400">IF(I400=1,
    J400,
    MAX(IF(H:H=H400, J:J)) - J400
)</f>
        <v>0</v>
      </c>
    </row>
    <row r="401" spans="1:11" x14ac:dyDescent="0.2">
      <c r="A401" s="43" t="s">
        <v>49</v>
      </c>
      <c r="B401" s="44" t="s">
        <v>59</v>
      </c>
      <c r="C401" s="42">
        <f>VLOOKUP(Tabela13[[#This Row],[Origem]],Tabela1[],2,FALSE)</f>
        <v>49</v>
      </c>
      <c r="D401" s="42">
        <f>VLOOKUP(Tabela13[[#This Row],[Destino]],Tabela1[],2,FALSE)</f>
        <v>59</v>
      </c>
      <c r="E401" s="51" t="s">
        <v>485</v>
      </c>
      <c r="F401" s="52" t="s">
        <v>997</v>
      </c>
      <c r="H401" s="42" t="str">
        <f t="shared" si="12"/>
        <v>Museu Cocco Barçante_Ponte Fones</v>
      </c>
      <c r="I401" s="42">
        <f t="shared" si="13"/>
        <v>1</v>
      </c>
      <c r="J401" s="53">
        <f>COUNTIFS(H$2:H401, H401)-1</f>
        <v>1</v>
      </c>
      <c r="K401" s="42" cm="1">
        <f t="array" ref="K401">IF(I401=1,
    J401,
    MAX(IF(H:H=H401, J:J)) - J401
)</f>
        <v>1</v>
      </c>
    </row>
    <row r="402" spans="1:11" x14ac:dyDescent="0.2">
      <c r="A402" s="43" t="s">
        <v>49</v>
      </c>
      <c r="B402" s="44" t="s">
        <v>47</v>
      </c>
      <c r="C402" s="42">
        <f>VLOOKUP(Tabela13[[#This Row],[Origem]],Tabela1[],2,FALSE)</f>
        <v>49</v>
      </c>
      <c r="D402" s="42">
        <f>VLOOKUP(Tabela13[[#This Row],[Destino]],Tabela1[],2,FALSE)</f>
        <v>47</v>
      </c>
      <c r="E402" s="51" t="s">
        <v>479</v>
      </c>
      <c r="F402" s="52" t="s">
        <v>991</v>
      </c>
      <c r="H402" s="42" t="str">
        <f t="shared" si="12"/>
        <v>Loja Patrone_Museu Cocco Barçante</v>
      </c>
      <c r="I402" s="42">
        <f t="shared" si="13"/>
        <v>-1</v>
      </c>
      <c r="J402" s="53">
        <f>COUNTIFS(H$2:H402, H402)-1</f>
        <v>5</v>
      </c>
      <c r="K402" s="42" cm="1">
        <f t="array" ref="K402">IF(I402=1,
    J402,
    MAX(IF(H:H=H402, J:J)) - J402
)</f>
        <v>4</v>
      </c>
    </row>
    <row r="403" spans="1:11" x14ac:dyDescent="0.2">
      <c r="A403" s="43" t="s">
        <v>49</v>
      </c>
      <c r="B403" s="44" t="s">
        <v>47</v>
      </c>
      <c r="C403" s="42">
        <f>VLOOKUP(Tabela13[[#This Row],[Origem]],Tabela1[],2,FALSE)</f>
        <v>49</v>
      </c>
      <c r="D403" s="42">
        <f>VLOOKUP(Tabela13[[#This Row],[Destino]],Tabela1[],2,FALSE)</f>
        <v>47</v>
      </c>
      <c r="E403" s="51" t="s">
        <v>480</v>
      </c>
      <c r="F403" s="52" t="s">
        <v>992</v>
      </c>
      <c r="H403" s="42" t="str">
        <f t="shared" si="12"/>
        <v>Loja Patrone_Museu Cocco Barçante</v>
      </c>
      <c r="I403" s="42">
        <f t="shared" si="13"/>
        <v>-1</v>
      </c>
      <c r="J403" s="53">
        <f>COUNTIFS(H$2:H403, H403)-1</f>
        <v>6</v>
      </c>
      <c r="K403" s="42" cm="1">
        <f t="array" ref="K403">IF(I403=1,
    J403,
    MAX(IF(H:H=H403, J:J)) - J403
)</f>
        <v>3</v>
      </c>
    </row>
    <row r="404" spans="1:11" x14ac:dyDescent="0.2">
      <c r="A404" s="43" t="s">
        <v>49</v>
      </c>
      <c r="B404" s="44" t="s">
        <v>47</v>
      </c>
      <c r="C404" s="42">
        <f>VLOOKUP(Tabela13[[#This Row],[Origem]],Tabela1[],2,FALSE)</f>
        <v>49</v>
      </c>
      <c r="D404" s="42">
        <f>VLOOKUP(Tabela13[[#This Row],[Destino]],Tabela1[],2,FALSE)</f>
        <v>47</v>
      </c>
      <c r="E404" s="51" t="s">
        <v>481</v>
      </c>
      <c r="F404" s="52" t="s">
        <v>993</v>
      </c>
      <c r="H404" s="42" t="str">
        <f t="shared" si="12"/>
        <v>Loja Patrone_Museu Cocco Barçante</v>
      </c>
      <c r="I404" s="42">
        <f t="shared" si="13"/>
        <v>-1</v>
      </c>
      <c r="J404" s="53">
        <f>COUNTIFS(H$2:H404, H404)-1</f>
        <v>7</v>
      </c>
      <c r="K404" s="42" cm="1">
        <f t="array" ref="K404">IF(I404=1,
    J404,
    MAX(IF(H:H=H404, J:J)) - J404
)</f>
        <v>2</v>
      </c>
    </row>
    <row r="405" spans="1:11" x14ac:dyDescent="0.2">
      <c r="A405" s="43" t="s">
        <v>49</v>
      </c>
      <c r="B405" s="44" t="s">
        <v>47</v>
      </c>
      <c r="C405" s="42">
        <f>VLOOKUP(Tabela13[[#This Row],[Origem]],Tabela1[],2,FALSE)</f>
        <v>49</v>
      </c>
      <c r="D405" s="42">
        <f>VLOOKUP(Tabela13[[#This Row],[Destino]],Tabela1[],2,FALSE)</f>
        <v>47</v>
      </c>
      <c r="E405" s="51" t="s">
        <v>482</v>
      </c>
      <c r="F405" s="52" t="s">
        <v>994</v>
      </c>
      <c r="H405" s="42" t="str">
        <f t="shared" si="12"/>
        <v>Loja Patrone_Museu Cocco Barçante</v>
      </c>
      <c r="I405" s="42">
        <f t="shared" si="13"/>
        <v>-1</v>
      </c>
      <c r="J405" s="53">
        <f>COUNTIFS(H$2:H405, H405)-1</f>
        <v>8</v>
      </c>
      <c r="K405" s="42" cm="1">
        <f t="array" ref="K405">IF(I405=1,
    J405,
    MAX(IF(H:H=H405, J:J)) - J405
)</f>
        <v>1</v>
      </c>
    </row>
    <row r="406" spans="1:11" x14ac:dyDescent="0.2">
      <c r="A406" s="43" t="s">
        <v>49</v>
      </c>
      <c r="B406" s="44" t="s">
        <v>47</v>
      </c>
      <c r="C406" s="42">
        <f>VLOOKUP(Tabela13[[#This Row],[Origem]],Tabela1[],2,FALSE)</f>
        <v>49</v>
      </c>
      <c r="D406" s="42">
        <f>VLOOKUP(Tabela13[[#This Row],[Destino]],Tabela1[],2,FALSE)</f>
        <v>47</v>
      </c>
      <c r="E406" s="51" t="s">
        <v>483</v>
      </c>
      <c r="F406" s="52" t="s">
        <v>995</v>
      </c>
      <c r="H406" s="42" t="str">
        <f t="shared" si="12"/>
        <v>Loja Patrone_Museu Cocco Barçante</v>
      </c>
      <c r="I406" s="42">
        <f t="shared" si="13"/>
        <v>-1</v>
      </c>
      <c r="J406" s="53">
        <f>COUNTIFS(H$2:H406, H406)-1</f>
        <v>9</v>
      </c>
      <c r="K406" s="42" cm="1">
        <f t="array" ref="K406">IF(I406=1,
    J406,
    MAX(IF(H:H=H406, J:J)) - J406
)</f>
        <v>0</v>
      </c>
    </row>
    <row r="407" spans="1:11" x14ac:dyDescent="0.2">
      <c r="A407" s="43" t="s">
        <v>50</v>
      </c>
      <c r="B407" s="44" t="s">
        <v>70</v>
      </c>
      <c r="C407" s="42">
        <f>VLOOKUP(Tabela13[[#This Row],[Origem]],Tabela1[],2,FALSE)</f>
        <v>50</v>
      </c>
      <c r="D407" s="42">
        <f>VLOOKUP(Tabela13[[#This Row],[Destino]],Tabela1[],2,FALSE)</f>
        <v>70</v>
      </c>
      <c r="E407" s="51" t="s">
        <v>231</v>
      </c>
      <c r="F407" s="52" t="s">
        <v>998</v>
      </c>
      <c r="H407" s="42" t="str">
        <f t="shared" si="12"/>
        <v>Museu de Cera_Relógio das Flores</v>
      </c>
      <c r="I407" s="42">
        <f t="shared" si="13"/>
        <v>1</v>
      </c>
      <c r="J407" s="53">
        <f>COUNTIFS(H$2:H407, H407)-1</f>
        <v>0</v>
      </c>
      <c r="K407" s="42" cm="1">
        <f t="array" ref="K407">IF(I407=1,
    J407,
    MAX(IF(H:H=H407, J:J)) - J407
)</f>
        <v>0</v>
      </c>
    </row>
    <row r="408" spans="1:11" x14ac:dyDescent="0.2">
      <c r="A408" s="43" t="s">
        <v>50</v>
      </c>
      <c r="B408" s="44" t="s">
        <v>64</v>
      </c>
      <c r="C408" s="42">
        <f>VLOOKUP(Tabela13[[#This Row],[Origem]],Tabela1[],2,FALSE)</f>
        <v>50</v>
      </c>
      <c r="D408" s="42">
        <f>VLOOKUP(Tabela13[[#This Row],[Destino]],Tabela1[],2,FALSE)</f>
        <v>64</v>
      </c>
      <c r="E408" s="51" t="s">
        <v>486</v>
      </c>
      <c r="F408" s="52" t="s">
        <v>999</v>
      </c>
      <c r="H408" s="42" t="str">
        <f t="shared" si="12"/>
        <v>Museu de Cera_Praça da Liberdade</v>
      </c>
      <c r="I408" s="42">
        <f t="shared" si="13"/>
        <v>1</v>
      </c>
      <c r="J408" s="53">
        <f>COUNTIFS(H$2:H408, H408)-1</f>
        <v>0</v>
      </c>
      <c r="K408" s="42" cm="1">
        <f t="array" ref="K408">IF(I408=1,
    J408,
    MAX(IF(H:H=H408, J:J)) - J408
)</f>
        <v>0</v>
      </c>
    </row>
    <row r="409" spans="1:11" x14ac:dyDescent="0.2">
      <c r="A409" s="43" t="s">
        <v>50</v>
      </c>
      <c r="B409" s="44" t="s">
        <v>64</v>
      </c>
      <c r="C409" s="42">
        <f>VLOOKUP(Tabela13[[#This Row],[Origem]],Tabela1[],2,FALSE)</f>
        <v>50</v>
      </c>
      <c r="D409" s="42">
        <f>VLOOKUP(Tabela13[[#This Row],[Destino]],Tabela1[],2,FALSE)</f>
        <v>64</v>
      </c>
      <c r="E409" s="51" t="s">
        <v>487</v>
      </c>
      <c r="F409" s="52" t="s">
        <v>1000</v>
      </c>
      <c r="H409" s="42" t="str">
        <f t="shared" si="12"/>
        <v>Museu de Cera_Praça da Liberdade</v>
      </c>
      <c r="I409" s="42">
        <f t="shared" si="13"/>
        <v>1</v>
      </c>
      <c r="J409" s="53">
        <f>COUNTIFS(H$2:H409, H409)-1</f>
        <v>1</v>
      </c>
      <c r="K409" s="42" cm="1">
        <f t="array" ref="K409">IF(I409=1,
    J409,
    MAX(IF(H:H=H409, J:J)) - J409
)</f>
        <v>1</v>
      </c>
    </row>
    <row r="410" spans="1:11" x14ac:dyDescent="0.2">
      <c r="A410" s="43" t="s">
        <v>51</v>
      </c>
      <c r="B410" s="44" t="s">
        <v>7</v>
      </c>
      <c r="C410" s="42">
        <f>VLOOKUP(Tabela13[[#This Row],[Origem]],Tabela1[],2,FALSE)</f>
        <v>51</v>
      </c>
      <c r="D410" s="42">
        <f>VLOOKUP(Tabela13[[#This Row],[Destino]],Tabela1[],2,FALSE)</f>
        <v>8</v>
      </c>
      <c r="E410" s="51" t="s">
        <v>488</v>
      </c>
      <c r="F410" s="52" t="s">
        <v>1001</v>
      </c>
      <c r="H410" s="42" t="str">
        <f t="shared" si="12"/>
        <v>Avenida Tiradentes_Museu Imperial</v>
      </c>
      <c r="I410" s="42">
        <f t="shared" si="13"/>
        <v>-1</v>
      </c>
      <c r="J410" s="53">
        <f>COUNTIFS(H$2:H410, H410)-1</f>
        <v>0</v>
      </c>
      <c r="K410" s="42" cm="1">
        <f t="array" ref="K410">IF(I410=1,
    J410,
    MAX(IF(H:H=H410, J:J)) - J410
)</f>
        <v>0</v>
      </c>
    </row>
    <row r="411" spans="1:11" hidden="1" x14ac:dyDescent="0.2">
      <c r="A411" s="43" t="s">
        <v>51</v>
      </c>
      <c r="B411" s="44" t="s">
        <v>62</v>
      </c>
      <c r="C411" s="42">
        <f>VLOOKUP(Tabela13[[#This Row],[Origem]],Tabela1[],2,FALSE)</f>
        <v>51</v>
      </c>
      <c r="D411" s="42">
        <f>VLOOKUP(Tabela13[[#This Row],[Destino]],Tabela1[],2,FALSE)</f>
        <v>62</v>
      </c>
      <c r="E411" s="51" t="s">
        <v>188</v>
      </c>
      <c r="F411" s="52" t="s">
        <v>189</v>
      </c>
      <c r="H411" s="42" t="str">
        <f t="shared" si="12"/>
        <v>Museu Imperial_Praça da Águia</v>
      </c>
      <c r="I411" s="42">
        <f t="shared" si="13"/>
        <v>1</v>
      </c>
      <c r="J411" s="53">
        <f>COUNTIFS(H$2:H411, H411)-1</f>
        <v>0</v>
      </c>
      <c r="K411" s="42" cm="1">
        <f t="array" ref="K411">IF(I411=1,
    J411,
    MAX(IF(H:H=H411, J:J)) - J411
)</f>
        <v>0</v>
      </c>
    </row>
    <row r="412" spans="1:11" hidden="1" x14ac:dyDescent="0.2">
      <c r="A412" s="43" t="s">
        <v>52</v>
      </c>
      <c r="B412" s="44" t="s">
        <v>36</v>
      </c>
      <c r="C412" s="42">
        <f>VLOOKUP(Tabela13[[#This Row],[Origem]],Tabela1[],2,FALSE)</f>
        <v>52</v>
      </c>
      <c r="D412" s="42">
        <f>VLOOKUP(Tabela13[[#This Row],[Destino]],Tabela1[],2,FALSE)</f>
        <v>36</v>
      </c>
      <c r="E412" s="51" t="s">
        <v>188</v>
      </c>
      <c r="F412" s="52" t="s">
        <v>189</v>
      </c>
      <c r="H412" s="42" t="str">
        <f t="shared" si="12"/>
        <v>Hotel Grande Hotel_Obelisco</v>
      </c>
      <c r="I412" s="42">
        <f t="shared" si="13"/>
        <v>-1</v>
      </c>
      <c r="J412" s="53">
        <f>COUNTIFS(H$2:H412, H412)-1</f>
        <v>0</v>
      </c>
      <c r="K412" s="42" cm="1">
        <f t="array" ref="K412">IF(I412=1,
    J412,
    MAX(IF(H:H=H412, J:J)) - J412
)</f>
        <v>0</v>
      </c>
    </row>
    <row r="413" spans="1:11" x14ac:dyDescent="0.2">
      <c r="A413" s="43" t="s">
        <v>53</v>
      </c>
      <c r="B413" s="44" t="s">
        <v>85</v>
      </c>
      <c r="C413" s="42">
        <f>VLOOKUP(Tabela13[[#This Row],[Origem]],Tabela1[],2,FALSE)</f>
        <v>53</v>
      </c>
      <c r="D413" s="42">
        <f>VLOOKUP(Tabela13[[#This Row],[Destino]],Tabela1[],2,FALSE)</f>
        <v>85</v>
      </c>
      <c r="E413" s="51" t="s">
        <v>489</v>
      </c>
      <c r="F413" s="52" t="s">
        <v>1002</v>
      </c>
      <c r="H413" s="42" t="str">
        <f t="shared" si="12"/>
        <v>Padaria Sul América_Rua Dr. Nelson de Sá Erp</v>
      </c>
      <c r="I413" s="42">
        <f t="shared" si="13"/>
        <v>1</v>
      </c>
      <c r="J413" s="53">
        <f>COUNTIFS(H$2:H413, H413)-1</f>
        <v>0</v>
      </c>
      <c r="K413" s="42" cm="1">
        <f t="array" ref="K413">IF(I413=1,
    J413,
    MAX(IF(H:H=H413, J:J)) - J413
)</f>
        <v>0</v>
      </c>
    </row>
    <row r="414" spans="1:11" hidden="1" x14ac:dyDescent="0.2">
      <c r="A414" s="43" t="s">
        <v>53</v>
      </c>
      <c r="B414" s="44" t="s">
        <v>87</v>
      </c>
      <c r="C414" s="42">
        <f>VLOOKUP(Tabela13[[#This Row],[Origem]],Tabela1[],2,FALSE)</f>
        <v>53</v>
      </c>
      <c r="D414" s="42">
        <f>VLOOKUP(Tabela13[[#This Row],[Destino]],Tabela1[],2,FALSE)</f>
        <v>87</v>
      </c>
      <c r="E414" s="51" t="s">
        <v>188</v>
      </c>
      <c r="F414" s="52" t="s">
        <v>189</v>
      </c>
      <c r="H414" s="42" t="str">
        <f t="shared" si="12"/>
        <v>Padaria Sul América_Rua General Osório</v>
      </c>
      <c r="I414" s="42">
        <f t="shared" si="13"/>
        <v>1</v>
      </c>
      <c r="J414" s="53">
        <f>COUNTIFS(H$2:H414, H414)-1</f>
        <v>0</v>
      </c>
      <c r="K414" s="42" cm="1">
        <f t="array" ref="K414">IF(I414=1,
    J414,
    MAX(IF(H:H=H414, J:J)) - J414
)</f>
        <v>0</v>
      </c>
    </row>
    <row r="415" spans="1:11" x14ac:dyDescent="0.2">
      <c r="A415" s="43" t="s">
        <v>54</v>
      </c>
      <c r="B415" s="44" t="s">
        <v>75</v>
      </c>
      <c r="C415" s="42">
        <f>VLOOKUP(Tabela13[[#This Row],[Origem]],Tabela1[],2,FALSE)</f>
        <v>54</v>
      </c>
      <c r="D415" s="42">
        <f>VLOOKUP(Tabela13[[#This Row],[Destino]],Tabela1[],2,FALSE)</f>
        <v>75</v>
      </c>
      <c r="E415" s="51" t="s">
        <v>490</v>
      </c>
      <c r="F415" s="52" t="s">
        <v>1003</v>
      </c>
      <c r="H415" s="42" t="str">
        <f t="shared" si="12"/>
        <v>Palácio de Cristal_Restaurante Odin</v>
      </c>
      <c r="I415" s="42">
        <f t="shared" si="13"/>
        <v>1</v>
      </c>
      <c r="J415" s="53">
        <f>COUNTIFS(H$2:H415, H415)-1</f>
        <v>0</v>
      </c>
      <c r="K415" s="42" cm="1">
        <f t="array" ref="K415">IF(I415=1,
    J415,
    MAX(IF(H:H=H415, J:J)) - J415
)</f>
        <v>0</v>
      </c>
    </row>
    <row r="416" spans="1:11" x14ac:dyDescent="0.2">
      <c r="A416" s="43" t="s">
        <v>54</v>
      </c>
      <c r="B416" s="44" t="s">
        <v>91</v>
      </c>
      <c r="C416" s="42">
        <f>VLOOKUP(Tabela13[[#This Row],[Origem]],Tabela1[],2,FALSE)</f>
        <v>54</v>
      </c>
      <c r="D416" s="42">
        <f>VLOOKUP(Tabela13[[#This Row],[Destino]],Tabela1[],2,FALSE)</f>
        <v>91</v>
      </c>
      <c r="E416" s="51" t="s">
        <v>491</v>
      </c>
      <c r="F416" s="52" t="s">
        <v>1004</v>
      </c>
      <c r="H416" s="42" t="str">
        <f t="shared" si="12"/>
        <v>Palácio de Cristal_Rua Padre Siqueira</v>
      </c>
      <c r="I416" s="42">
        <f t="shared" si="13"/>
        <v>1</v>
      </c>
      <c r="J416" s="53">
        <f>COUNTIFS(H$2:H416, H416)-1</f>
        <v>0</v>
      </c>
      <c r="K416" s="42" cm="1">
        <f t="array" ref="K416">IF(I416=1,
    J416,
    MAX(IF(H:H=H416, J:J)) - J416
)</f>
        <v>0</v>
      </c>
    </row>
    <row r="417" spans="1:11" x14ac:dyDescent="0.2">
      <c r="A417" s="43" t="s">
        <v>55</v>
      </c>
      <c r="B417" s="44" t="s">
        <v>94</v>
      </c>
      <c r="C417" s="42">
        <f>VLOOKUP(Tabela13[[#This Row],[Origem]],Tabela1[],2,FALSE)</f>
        <v>55</v>
      </c>
      <c r="D417" s="42">
        <f>VLOOKUP(Tabela13[[#This Row],[Destino]],Tabela1[],2,FALSE)</f>
        <v>94</v>
      </c>
      <c r="E417" s="51" t="s">
        <v>492</v>
      </c>
      <c r="F417" s="52" t="s">
        <v>1005</v>
      </c>
      <c r="H417" s="42" t="str">
        <f t="shared" si="12"/>
        <v>Palácio Itaboraí_Rua Rockfeller</v>
      </c>
      <c r="I417" s="42">
        <f t="shared" si="13"/>
        <v>1</v>
      </c>
      <c r="J417" s="53">
        <f>COUNTIFS(H$2:H417, H417)-1</f>
        <v>0</v>
      </c>
      <c r="K417" s="42" cm="1">
        <f t="array" ref="K417">IF(I417=1,
    J417,
    MAX(IF(H:H=H417, J:J)) - J417
)</f>
        <v>0</v>
      </c>
    </row>
    <row r="418" spans="1:11" x14ac:dyDescent="0.2">
      <c r="A418" s="43" t="s">
        <v>55</v>
      </c>
      <c r="B418" s="44" t="s">
        <v>28</v>
      </c>
      <c r="C418" s="42">
        <f>VLOOKUP(Tabela13[[#This Row],[Origem]],Tabela1[],2,FALSE)</f>
        <v>55</v>
      </c>
      <c r="D418" s="42">
        <f>VLOOKUP(Tabela13[[#This Row],[Destino]],Tabela1[],2,FALSE)</f>
        <v>28</v>
      </c>
      <c r="E418" s="51" t="s">
        <v>397</v>
      </c>
      <c r="F418" s="52" t="s">
        <v>910</v>
      </c>
      <c r="H418" s="42" t="str">
        <f t="shared" si="12"/>
        <v>Colégio Terra Santa_Palácio Itaboraí</v>
      </c>
      <c r="I418" s="42">
        <f t="shared" si="13"/>
        <v>-1</v>
      </c>
      <c r="J418" s="53">
        <f>COUNTIFS(H$2:H418, H418)-1</f>
        <v>1</v>
      </c>
      <c r="K418" s="42" cm="1">
        <f t="array" ref="K418">IF(I418=1,
    J418,
    MAX(IF(H:H=H418, J:J)) - J418
)</f>
        <v>0</v>
      </c>
    </row>
    <row r="419" spans="1:11" x14ac:dyDescent="0.2">
      <c r="A419" s="43" t="s">
        <v>55</v>
      </c>
      <c r="B419" s="44" t="s">
        <v>88</v>
      </c>
      <c r="C419" s="42">
        <f>VLOOKUP(Tabela13[[#This Row],[Origem]],Tabela1[],2,FALSE)</f>
        <v>55</v>
      </c>
      <c r="D419" s="42">
        <f>VLOOKUP(Tabela13[[#This Row],[Destino]],Tabela1[],2,FALSE)</f>
        <v>88</v>
      </c>
      <c r="E419" s="51" t="s">
        <v>493</v>
      </c>
      <c r="F419" s="52" t="s">
        <v>1006</v>
      </c>
      <c r="H419" s="42" t="str">
        <f t="shared" si="12"/>
        <v>Palácio Itaboraí_Rua Gonçalves Dias</v>
      </c>
      <c r="I419" s="42">
        <f t="shared" si="13"/>
        <v>1</v>
      </c>
      <c r="J419" s="53">
        <f>COUNTIFS(H$2:H419, H419)-1</f>
        <v>0</v>
      </c>
      <c r="K419" s="42" cm="1">
        <f t="array" ref="K419">IF(I419=1,
    J419,
    MAX(IF(H:H=H419, J:J)) - J419
)</f>
        <v>0</v>
      </c>
    </row>
    <row r="420" spans="1:11" x14ac:dyDescent="0.2">
      <c r="A420" s="43" t="s">
        <v>55</v>
      </c>
      <c r="B420" s="44" t="s">
        <v>88</v>
      </c>
      <c r="C420" s="42">
        <f>VLOOKUP(Tabela13[[#This Row],[Origem]],Tabela1[],2,FALSE)</f>
        <v>55</v>
      </c>
      <c r="D420" s="42">
        <f>VLOOKUP(Tabela13[[#This Row],[Destino]],Tabela1[],2,FALSE)</f>
        <v>88</v>
      </c>
      <c r="E420" s="51" t="s">
        <v>494</v>
      </c>
      <c r="F420" s="52" t="s">
        <v>1007</v>
      </c>
      <c r="H420" s="42" t="str">
        <f t="shared" si="12"/>
        <v>Palácio Itaboraí_Rua Gonçalves Dias</v>
      </c>
      <c r="I420" s="42">
        <f t="shared" si="13"/>
        <v>1</v>
      </c>
      <c r="J420" s="53">
        <f>COUNTIFS(H$2:H420, H420)-1</f>
        <v>1</v>
      </c>
      <c r="K420" s="42" cm="1">
        <f t="array" ref="K420">IF(I420=1,
    J420,
    MAX(IF(H:H=H420, J:J)) - J420
)</f>
        <v>1</v>
      </c>
    </row>
    <row r="421" spans="1:11" x14ac:dyDescent="0.2">
      <c r="A421" s="43" t="s">
        <v>55</v>
      </c>
      <c r="B421" s="44" t="s">
        <v>88</v>
      </c>
      <c r="C421" s="42">
        <f>VLOOKUP(Tabela13[[#This Row],[Origem]],Tabela1[],2,FALSE)</f>
        <v>55</v>
      </c>
      <c r="D421" s="42">
        <f>VLOOKUP(Tabela13[[#This Row],[Destino]],Tabela1[],2,FALSE)</f>
        <v>88</v>
      </c>
      <c r="E421" s="51" t="s">
        <v>495</v>
      </c>
      <c r="F421" s="52" t="s">
        <v>1008</v>
      </c>
      <c r="H421" s="42" t="str">
        <f t="shared" si="12"/>
        <v>Palácio Itaboraí_Rua Gonçalves Dias</v>
      </c>
      <c r="I421" s="42">
        <f t="shared" si="13"/>
        <v>1</v>
      </c>
      <c r="J421" s="53">
        <f>COUNTIFS(H$2:H421, H421)-1</f>
        <v>2</v>
      </c>
      <c r="K421" s="42" cm="1">
        <f t="array" ref="K421">IF(I421=1,
    J421,
    MAX(IF(H:H=H421, J:J)) - J421
)</f>
        <v>2</v>
      </c>
    </row>
    <row r="422" spans="1:11" x14ac:dyDescent="0.2">
      <c r="A422" s="43" t="s">
        <v>56</v>
      </c>
      <c r="B422" s="44" t="s">
        <v>32</v>
      </c>
      <c r="C422" s="42">
        <f>VLOOKUP(Tabela13[[#This Row],[Origem]],Tabela1[],2,FALSE)</f>
        <v>56</v>
      </c>
      <c r="D422" s="42">
        <f>VLOOKUP(Tabela13[[#This Row],[Destino]],Tabela1[],2,FALSE)</f>
        <v>32</v>
      </c>
      <c r="E422" s="51" t="s">
        <v>425</v>
      </c>
      <c r="F422" s="52" t="s">
        <v>937</v>
      </c>
      <c r="H422" s="42" t="str">
        <f t="shared" si="12"/>
        <v>FAETERJ_Palácio Quitandinha</v>
      </c>
      <c r="I422" s="42">
        <f t="shared" si="13"/>
        <v>-1</v>
      </c>
      <c r="J422" s="53">
        <f>COUNTIFS(H$2:H422, H422)-1</f>
        <v>5</v>
      </c>
      <c r="K422" s="42" cm="1">
        <f t="array" ref="K422">IF(I422=1,
    J422,
    MAX(IF(H:H=H422, J:J)) - J422
)</f>
        <v>4</v>
      </c>
    </row>
    <row r="423" spans="1:11" x14ac:dyDescent="0.2">
      <c r="A423" s="43" t="s">
        <v>56</v>
      </c>
      <c r="B423" s="44" t="s">
        <v>32</v>
      </c>
      <c r="C423" s="42">
        <f>VLOOKUP(Tabela13[[#This Row],[Origem]],Tabela1[],2,FALSE)</f>
        <v>56</v>
      </c>
      <c r="D423" s="42">
        <f>VLOOKUP(Tabela13[[#This Row],[Destino]],Tabela1[],2,FALSE)</f>
        <v>32</v>
      </c>
      <c r="E423" s="51" t="s">
        <v>426</v>
      </c>
      <c r="F423" s="52" t="s">
        <v>938</v>
      </c>
      <c r="H423" s="42" t="str">
        <f t="shared" si="12"/>
        <v>FAETERJ_Palácio Quitandinha</v>
      </c>
      <c r="I423" s="42">
        <f t="shared" si="13"/>
        <v>-1</v>
      </c>
      <c r="J423" s="53">
        <f>COUNTIFS(H$2:H423, H423)-1</f>
        <v>6</v>
      </c>
      <c r="K423" s="42" cm="1">
        <f t="array" ref="K423">IF(I423=1,
    J423,
    MAX(IF(H:H=H423, J:J)) - J423
)</f>
        <v>3</v>
      </c>
    </row>
    <row r="424" spans="1:11" x14ac:dyDescent="0.2">
      <c r="A424" s="43" t="s">
        <v>56</v>
      </c>
      <c r="B424" s="44" t="s">
        <v>32</v>
      </c>
      <c r="C424" s="42">
        <f>VLOOKUP(Tabela13[[#This Row],[Origem]],Tabela1[],2,FALSE)</f>
        <v>56</v>
      </c>
      <c r="D424" s="42">
        <f>VLOOKUP(Tabela13[[#This Row],[Destino]],Tabela1[],2,FALSE)</f>
        <v>32</v>
      </c>
      <c r="E424" s="51" t="s">
        <v>427</v>
      </c>
      <c r="F424" s="52" t="s">
        <v>939</v>
      </c>
      <c r="H424" s="42" t="str">
        <f t="shared" si="12"/>
        <v>FAETERJ_Palácio Quitandinha</v>
      </c>
      <c r="I424" s="42">
        <f t="shared" si="13"/>
        <v>-1</v>
      </c>
      <c r="J424" s="53">
        <f>COUNTIFS(H$2:H424, H424)-1</f>
        <v>7</v>
      </c>
      <c r="K424" s="42" cm="1">
        <f t="array" ref="K424">IF(I424=1,
    J424,
    MAX(IF(H:H=H424, J:J)) - J424
)</f>
        <v>2</v>
      </c>
    </row>
    <row r="425" spans="1:11" x14ac:dyDescent="0.2">
      <c r="A425" s="43" t="s">
        <v>56</v>
      </c>
      <c r="B425" s="44" t="s">
        <v>32</v>
      </c>
      <c r="C425" s="42">
        <f>VLOOKUP(Tabela13[[#This Row],[Origem]],Tabela1[],2,FALSE)</f>
        <v>56</v>
      </c>
      <c r="D425" s="42">
        <f>VLOOKUP(Tabela13[[#This Row],[Destino]],Tabela1[],2,FALSE)</f>
        <v>32</v>
      </c>
      <c r="E425" s="51" t="s">
        <v>428</v>
      </c>
      <c r="F425" s="52" t="s">
        <v>940</v>
      </c>
      <c r="H425" s="42" t="str">
        <f t="shared" si="12"/>
        <v>FAETERJ_Palácio Quitandinha</v>
      </c>
      <c r="I425" s="42">
        <f t="shared" si="13"/>
        <v>-1</v>
      </c>
      <c r="J425" s="53">
        <f>COUNTIFS(H$2:H425, H425)-1</f>
        <v>8</v>
      </c>
      <c r="K425" s="42" cm="1">
        <f t="array" ref="K425">IF(I425=1,
    J425,
    MAX(IF(H:H=H425, J:J)) - J425
)</f>
        <v>1</v>
      </c>
    </row>
    <row r="426" spans="1:11" x14ac:dyDescent="0.2">
      <c r="A426" s="43" t="s">
        <v>56</v>
      </c>
      <c r="B426" s="44" t="s">
        <v>32</v>
      </c>
      <c r="C426" s="42">
        <f>VLOOKUP(Tabela13[[#This Row],[Origem]],Tabela1[],2,FALSE)</f>
        <v>56</v>
      </c>
      <c r="D426" s="42">
        <f>VLOOKUP(Tabela13[[#This Row],[Destino]],Tabela1[],2,FALSE)</f>
        <v>32</v>
      </c>
      <c r="E426" s="51" t="s">
        <v>429</v>
      </c>
      <c r="F426" s="52" t="s">
        <v>941</v>
      </c>
      <c r="H426" s="42" t="str">
        <f t="shared" si="12"/>
        <v>FAETERJ_Palácio Quitandinha</v>
      </c>
      <c r="I426" s="42">
        <f t="shared" si="13"/>
        <v>-1</v>
      </c>
      <c r="J426" s="53">
        <f>COUNTIFS(H$2:H426, H426)-1</f>
        <v>9</v>
      </c>
      <c r="K426" s="42" cm="1">
        <f t="array" ref="K426">IF(I426=1,
    J426,
    MAX(IF(H:H=H426, J:J)) - J426
)</f>
        <v>0</v>
      </c>
    </row>
    <row r="427" spans="1:11" x14ac:dyDescent="0.2">
      <c r="A427" s="43" t="s">
        <v>56</v>
      </c>
      <c r="B427" s="44" t="s">
        <v>43</v>
      </c>
      <c r="C427" s="42">
        <f>VLOOKUP(Tabela13[[#This Row],[Origem]],Tabela1[],2,FALSE)</f>
        <v>56</v>
      </c>
      <c r="D427" s="42">
        <f>VLOOKUP(Tabela13[[#This Row],[Destino]],Tabela1[],2,FALSE)</f>
        <v>43</v>
      </c>
      <c r="E427" s="51" t="s">
        <v>496</v>
      </c>
      <c r="F427" s="52" t="s">
        <v>1009</v>
      </c>
      <c r="H427" s="42" t="str">
        <f t="shared" si="12"/>
        <v>Lago do Quitandinha_Palácio Quitandinha</v>
      </c>
      <c r="I427" s="42">
        <f t="shared" si="13"/>
        <v>-1</v>
      </c>
      <c r="J427" s="53">
        <f>COUNTIFS(H$2:H427, H427)-1</f>
        <v>11</v>
      </c>
      <c r="K427" s="42" cm="1">
        <f t="array" ref="K427">IF(I427=1,
    J427,
    MAX(IF(H:H=H427, J:J)) - J427
)</f>
        <v>7</v>
      </c>
    </row>
    <row r="428" spans="1:11" x14ac:dyDescent="0.2">
      <c r="A428" s="43" t="s">
        <v>56</v>
      </c>
      <c r="B428" s="44" t="s">
        <v>43</v>
      </c>
      <c r="C428" s="42">
        <f>VLOOKUP(Tabela13[[#This Row],[Origem]],Tabela1[],2,FALSE)</f>
        <v>56</v>
      </c>
      <c r="D428" s="42">
        <f>VLOOKUP(Tabela13[[#This Row],[Destino]],Tabela1[],2,FALSE)</f>
        <v>43</v>
      </c>
      <c r="E428" s="51" t="s">
        <v>497</v>
      </c>
      <c r="F428" s="52" t="s">
        <v>1010</v>
      </c>
      <c r="H428" s="42" t="str">
        <f t="shared" si="12"/>
        <v>Lago do Quitandinha_Palácio Quitandinha</v>
      </c>
      <c r="I428" s="42">
        <f t="shared" si="13"/>
        <v>-1</v>
      </c>
      <c r="J428" s="53">
        <f>COUNTIFS(H$2:H428, H428)-1</f>
        <v>12</v>
      </c>
      <c r="K428" s="42" cm="1">
        <f t="array" ref="K428">IF(I428=1,
    J428,
    MAX(IF(H:H=H428, J:J)) - J428
)</f>
        <v>6</v>
      </c>
    </row>
    <row r="429" spans="1:11" x14ac:dyDescent="0.2">
      <c r="A429" s="43" t="s">
        <v>56</v>
      </c>
      <c r="B429" s="44" t="s">
        <v>43</v>
      </c>
      <c r="C429" s="42">
        <f>VLOOKUP(Tabela13[[#This Row],[Origem]],Tabela1[],2,FALSE)</f>
        <v>56</v>
      </c>
      <c r="D429" s="42">
        <f>VLOOKUP(Tabela13[[#This Row],[Destino]],Tabela1[],2,FALSE)</f>
        <v>43</v>
      </c>
      <c r="E429" s="51" t="s">
        <v>498</v>
      </c>
      <c r="F429" s="52" t="s">
        <v>1011</v>
      </c>
      <c r="H429" s="42" t="str">
        <f t="shared" si="12"/>
        <v>Lago do Quitandinha_Palácio Quitandinha</v>
      </c>
      <c r="I429" s="42">
        <f t="shared" si="13"/>
        <v>-1</v>
      </c>
      <c r="J429" s="53">
        <f>COUNTIFS(H$2:H429, H429)-1</f>
        <v>13</v>
      </c>
      <c r="K429" s="42" cm="1">
        <f t="array" ref="K429">IF(I429=1,
    J429,
    MAX(IF(H:H=H429, J:J)) - J429
)</f>
        <v>5</v>
      </c>
    </row>
    <row r="430" spans="1:11" x14ac:dyDescent="0.2">
      <c r="A430" s="43" t="s">
        <v>56</v>
      </c>
      <c r="B430" s="44" t="s">
        <v>43</v>
      </c>
      <c r="C430" s="42">
        <f>VLOOKUP(Tabela13[[#This Row],[Origem]],Tabela1[],2,FALSE)</f>
        <v>56</v>
      </c>
      <c r="D430" s="42">
        <f>VLOOKUP(Tabela13[[#This Row],[Destino]],Tabela1[],2,FALSE)</f>
        <v>43</v>
      </c>
      <c r="E430" s="51" t="s">
        <v>499</v>
      </c>
      <c r="F430" s="52" t="s">
        <v>1012</v>
      </c>
      <c r="H430" s="42" t="str">
        <f t="shared" si="12"/>
        <v>Lago do Quitandinha_Palácio Quitandinha</v>
      </c>
      <c r="I430" s="42">
        <f t="shared" si="13"/>
        <v>-1</v>
      </c>
      <c r="J430" s="53">
        <f>COUNTIFS(H$2:H430, H430)-1</f>
        <v>14</v>
      </c>
      <c r="K430" s="42" cm="1">
        <f t="array" ref="K430">IF(I430=1,
    J430,
    MAX(IF(H:H=H430, J:J)) - J430
)</f>
        <v>4</v>
      </c>
    </row>
    <row r="431" spans="1:11" x14ac:dyDescent="0.2">
      <c r="A431" s="43" t="s">
        <v>56</v>
      </c>
      <c r="B431" s="44" t="s">
        <v>43</v>
      </c>
      <c r="C431" s="42">
        <f>VLOOKUP(Tabela13[[#This Row],[Origem]],Tabela1[],2,FALSE)</f>
        <v>56</v>
      </c>
      <c r="D431" s="42">
        <f>VLOOKUP(Tabela13[[#This Row],[Destino]],Tabela1[],2,FALSE)</f>
        <v>43</v>
      </c>
      <c r="E431" s="51" t="s">
        <v>500</v>
      </c>
      <c r="F431" s="52" t="s">
        <v>1013</v>
      </c>
      <c r="H431" s="42" t="str">
        <f t="shared" si="12"/>
        <v>Lago do Quitandinha_Palácio Quitandinha</v>
      </c>
      <c r="I431" s="42">
        <f t="shared" si="13"/>
        <v>-1</v>
      </c>
      <c r="J431" s="53">
        <f>COUNTIFS(H$2:H431, H431)-1</f>
        <v>15</v>
      </c>
      <c r="K431" s="42" cm="1">
        <f t="array" ref="K431">IF(I431=1,
    J431,
    MAX(IF(H:H=H431, J:J)) - J431
)</f>
        <v>3</v>
      </c>
    </row>
    <row r="432" spans="1:11" x14ac:dyDescent="0.2">
      <c r="A432" s="43" t="s">
        <v>56</v>
      </c>
      <c r="B432" s="44" t="s">
        <v>43</v>
      </c>
      <c r="C432" s="42">
        <f>VLOOKUP(Tabela13[[#This Row],[Origem]],Tabela1[],2,FALSE)</f>
        <v>56</v>
      </c>
      <c r="D432" s="42">
        <f>VLOOKUP(Tabela13[[#This Row],[Destino]],Tabela1[],2,FALSE)</f>
        <v>43</v>
      </c>
      <c r="E432" s="51" t="s">
        <v>501</v>
      </c>
      <c r="F432" s="52" t="s">
        <v>1014</v>
      </c>
      <c r="H432" s="42" t="str">
        <f t="shared" si="12"/>
        <v>Lago do Quitandinha_Palácio Quitandinha</v>
      </c>
      <c r="I432" s="42">
        <f t="shared" si="13"/>
        <v>-1</v>
      </c>
      <c r="J432" s="53">
        <f>COUNTIFS(H$2:H432, H432)-1</f>
        <v>16</v>
      </c>
      <c r="K432" s="42" cm="1">
        <f t="array" ref="K432">IF(I432=1,
    J432,
    MAX(IF(H:H=H432, J:J)) - J432
)</f>
        <v>2</v>
      </c>
    </row>
    <row r="433" spans="1:11" x14ac:dyDescent="0.2">
      <c r="A433" s="43" t="s">
        <v>56</v>
      </c>
      <c r="B433" s="44" t="s">
        <v>43</v>
      </c>
      <c r="C433" s="42">
        <f>VLOOKUP(Tabela13[[#This Row],[Origem]],Tabela1[],2,FALSE)</f>
        <v>56</v>
      </c>
      <c r="D433" s="42">
        <f>VLOOKUP(Tabela13[[#This Row],[Destino]],Tabela1[],2,FALSE)</f>
        <v>43</v>
      </c>
      <c r="E433" s="51" t="s">
        <v>502</v>
      </c>
      <c r="F433" s="52" t="s">
        <v>1015</v>
      </c>
      <c r="H433" s="42" t="str">
        <f t="shared" si="12"/>
        <v>Lago do Quitandinha_Palácio Quitandinha</v>
      </c>
      <c r="I433" s="42">
        <f t="shared" si="13"/>
        <v>-1</v>
      </c>
      <c r="J433" s="53">
        <f>COUNTIFS(H$2:H433, H433)-1</f>
        <v>17</v>
      </c>
      <c r="K433" s="42" cm="1">
        <f t="array" ref="K433">IF(I433=1,
    J433,
    MAX(IF(H:H=H433, J:J)) - J433
)</f>
        <v>1</v>
      </c>
    </row>
    <row r="434" spans="1:11" x14ac:dyDescent="0.2">
      <c r="A434" s="43" t="s">
        <v>56</v>
      </c>
      <c r="B434" s="44" t="s">
        <v>43</v>
      </c>
      <c r="C434" s="42">
        <f>VLOOKUP(Tabela13[[#This Row],[Origem]],Tabela1[],2,FALSE)</f>
        <v>56</v>
      </c>
      <c r="D434" s="42">
        <f>VLOOKUP(Tabela13[[#This Row],[Destino]],Tabela1[],2,FALSE)</f>
        <v>43</v>
      </c>
      <c r="E434" s="51" t="s">
        <v>503</v>
      </c>
      <c r="F434" s="52" t="s">
        <v>1016</v>
      </c>
      <c r="H434" s="42" t="str">
        <f t="shared" si="12"/>
        <v>Lago do Quitandinha_Palácio Quitandinha</v>
      </c>
      <c r="I434" s="42">
        <f t="shared" si="13"/>
        <v>-1</v>
      </c>
      <c r="J434" s="53">
        <f>COUNTIFS(H$2:H434, H434)-1</f>
        <v>18</v>
      </c>
      <c r="K434" s="42" cm="1">
        <f t="array" ref="K434">IF(I434=1,
    J434,
    MAX(IF(H:H=H434, J:J)) - J434
)</f>
        <v>0</v>
      </c>
    </row>
    <row r="435" spans="1:11" x14ac:dyDescent="0.2">
      <c r="A435" s="43" t="s">
        <v>56</v>
      </c>
      <c r="B435" s="44" t="s">
        <v>82</v>
      </c>
      <c r="C435" s="42">
        <f>VLOOKUP(Tabela13[[#This Row],[Origem]],Tabela1[],2,FALSE)</f>
        <v>56</v>
      </c>
      <c r="D435" s="42">
        <f>VLOOKUP(Tabela13[[#This Row],[Destino]],Tabela1[],2,FALSE)</f>
        <v>82</v>
      </c>
      <c r="E435" s="51" t="s">
        <v>504</v>
      </c>
      <c r="F435" s="52" t="s">
        <v>1017</v>
      </c>
      <c r="H435" s="42" t="str">
        <f t="shared" si="12"/>
        <v>Palácio Quitandinha_Rua da Batata Frita</v>
      </c>
      <c r="I435" s="42">
        <f t="shared" si="13"/>
        <v>1</v>
      </c>
      <c r="J435" s="53">
        <f>COUNTIFS(H$2:H435, H435)-1</f>
        <v>0</v>
      </c>
      <c r="K435" s="42" cm="1">
        <f t="array" ref="K435">IF(I435=1,
    J435,
    MAX(IF(H:H=H435, J:J)) - J435
)</f>
        <v>0</v>
      </c>
    </row>
    <row r="436" spans="1:11" x14ac:dyDescent="0.2">
      <c r="A436" s="43" t="s">
        <v>56</v>
      </c>
      <c r="B436" s="44" t="s">
        <v>82</v>
      </c>
      <c r="C436" s="42">
        <f>VLOOKUP(Tabela13[[#This Row],[Origem]],Tabela1[],2,FALSE)</f>
        <v>56</v>
      </c>
      <c r="D436" s="42">
        <f>VLOOKUP(Tabela13[[#This Row],[Destino]],Tabela1[],2,FALSE)</f>
        <v>82</v>
      </c>
      <c r="E436" s="51" t="s">
        <v>505</v>
      </c>
      <c r="F436" s="52" t="s">
        <v>1018</v>
      </c>
      <c r="H436" s="42" t="str">
        <f t="shared" si="12"/>
        <v>Palácio Quitandinha_Rua da Batata Frita</v>
      </c>
      <c r="I436" s="42">
        <f t="shared" si="13"/>
        <v>1</v>
      </c>
      <c r="J436" s="53">
        <f>COUNTIFS(H$2:H436, H436)-1</f>
        <v>1</v>
      </c>
      <c r="K436" s="42" cm="1">
        <f t="array" ref="K436">IF(I436=1,
    J436,
    MAX(IF(H:H=H436, J:J)) - J436
)</f>
        <v>1</v>
      </c>
    </row>
    <row r="437" spans="1:11" x14ac:dyDescent="0.2">
      <c r="A437" s="43" t="s">
        <v>56</v>
      </c>
      <c r="B437" s="44" t="s">
        <v>82</v>
      </c>
      <c r="C437" s="42">
        <f>VLOOKUP(Tabela13[[#This Row],[Origem]],Tabela1[],2,FALSE)</f>
        <v>56</v>
      </c>
      <c r="D437" s="42">
        <f>VLOOKUP(Tabela13[[#This Row],[Destino]],Tabela1[],2,FALSE)</f>
        <v>82</v>
      </c>
      <c r="E437" s="51" t="s">
        <v>506</v>
      </c>
      <c r="F437" s="52" t="s">
        <v>1019</v>
      </c>
      <c r="H437" s="42" t="str">
        <f t="shared" si="12"/>
        <v>Palácio Quitandinha_Rua da Batata Frita</v>
      </c>
      <c r="I437" s="42">
        <f t="shared" si="13"/>
        <v>1</v>
      </c>
      <c r="J437" s="53">
        <f>COUNTIFS(H$2:H437, H437)-1</f>
        <v>2</v>
      </c>
      <c r="K437" s="42" cm="1">
        <f t="array" ref="K437">IF(I437=1,
    J437,
    MAX(IF(H:H=H437, J:J)) - J437
)</f>
        <v>2</v>
      </c>
    </row>
    <row r="438" spans="1:11" x14ac:dyDescent="0.2">
      <c r="A438" s="43" t="s">
        <v>56</v>
      </c>
      <c r="B438" s="44" t="s">
        <v>82</v>
      </c>
      <c r="C438" s="42">
        <f>VLOOKUP(Tabela13[[#This Row],[Origem]],Tabela1[],2,FALSE)</f>
        <v>56</v>
      </c>
      <c r="D438" s="42">
        <f>VLOOKUP(Tabela13[[#This Row],[Destino]],Tabela1[],2,FALSE)</f>
        <v>82</v>
      </c>
      <c r="E438" s="51" t="s">
        <v>507</v>
      </c>
      <c r="F438" s="52" t="s">
        <v>1020</v>
      </c>
      <c r="H438" s="42" t="str">
        <f t="shared" si="12"/>
        <v>Palácio Quitandinha_Rua da Batata Frita</v>
      </c>
      <c r="I438" s="42">
        <f t="shared" si="13"/>
        <v>1</v>
      </c>
      <c r="J438" s="53">
        <f>COUNTIFS(H$2:H438, H438)-1</f>
        <v>3</v>
      </c>
      <c r="K438" s="42" cm="1">
        <f t="array" ref="K438">IF(I438=1,
    J438,
    MAX(IF(H:H=H438, J:J)) - J438
)</f>
        <v>3</v>
      </c>
    </row>
    <row r="439" spans="1:11" x14ac:dyDescent="0.2">
      <c r="A439" s="43" t="s">
        <v>56</v>
      </c>
      <c r="B439" s="44" t="s">
        <v>82</v>
      </c>
      <c r="C439" s="42">
        <f>VLOOKUP(Tabela13[[#This Row],[Origem]],Tabela1[],2,FALSE)</f>
        <v>56</v>
      </c>
      <c r="D439" s="42">
        <f>VLOOKUP(Tabela13[[#This Row],[Destino]],Tabela1[],2,FALSE)</f>
        <v>82</v>
      </c>
      <c r="E439" s="51" t="s">
        <v>508</v>
      </c>
      <c r="F439" s="52" t="s">
        <v>1021</v>
      </c>
      <c r="H439" s="42" t="str">
        <f t="shared" si="12"/>
        <v>Palácio Quitandinha_Rua da Batata Frita</v>
      </c>
      <c r="I439" s="42">
        <f t="shared" si="13"/>
        <v>1</v>
      </c>
      <c r="J439" s="53">
        <f>COUNTIFS(H$2:H439, H439)-1</f>
        <v>4</v>
      </c>
      <c r="K439" s="42" cm="1">
        <f t="array" ref="K439">IF(I439=1,
    J439,
    MAX(IF(H:H=H439, J:J)) - J439
)</f>
        <v>4</v>
      </c>
    </row>
    <row r="440" spans="1:11" x14ac:dyDescent="0.2">
      <c r="A440" s="43" t="s">
        <v>56</v>
      </c>
      <c r="B440" s="44" t="s">
        <v>82</v>
      </c>
      <c r="C440" s="42">
        <f>VLOOKUP(Tabela13[[#This Row],[Origem]],Tabela1[],2,FALSE)</f>
        <v>56</v>
      </c>
      <c r="D440" s="42">
        <f>VLOOKUP(Tabela13[[#This Row],[Destino]],Tabela1[],2,FALSE)</f>
        <v>82</v>
      </c>
      <c r="E440" s="51" t="s">
        <v>509</v>
      </c>
      <c r="F440" s="52" t="s">
        <v>1022</v>
      </c>
      <c r="H440" s="42" t="str">
        <f t="shared" si="12"/>
        <v>Palácio Quitandinha_Rua da Batata Frita</v>
      </c>
      <c r="I440" s="42">
        <f t="shared" si="13"/>
        <v>1</v>
      </c>
      <c r="J440" s="53">
        <f>COUNTIFS(H$2:H440, H440)-1</f>
        <v>5</v>
      </c>
      <c r="K440" s="42" cm="1">
        <f t="array" ref="K440">IF(I440=1,
    J440,
    MAX(IF(H:H=H440, J:J)) - J440
)</f>
        <v>5</v>
      </c>
    </row>
    <row r="441" spans="1:11" x14ac:dyDescent="0.2">
      <c r="A441" s="43" t="s">
        <v>56</v>
      </c>
      <c r="B441" s="44" t="s">
        <v>82</v>
      </c>
      <c r="C441" s="42">
        <f>VLOOKUP(Tabela13[[#This Row],[Origem]],Tabela1[],2,FALSE)</f>
        <v>56</v>
      </c>
      <c r="D441" s="42">
        <f>VLOOKUP(Tabela13[[#This Row],[Destino]],Tabela1[],2,FALSE)</f>
        <v>82</v>
      </c>
      <c r="E441" s="51" t="s">
        <v>510</v>
      </c>
      <c r="F441" s="52" t="s">
        <v>1023</v>
      </c>
      <c r="H441" s="42" t="str">
        <f t="shared" si="12"/>
        <v>Palácio Quitandinha_Rua da Batata Frita</v>
      </c>
      <c r="I441" s="42">
        <f t="shared" si="13"/>
        <v>1</v>
      </c>
      <c r="J441" s="53">
        <f>COUNTIFS(H$2:H441, H441)-1</f>
        <v>6</v>
      </c>
      <c r="K441" s="42" cm="1">
        <f t="array" ref="K441">IF(I441=1,
    J441,
    MAX(IF(H:H=H441, J:J)) - J441
)</f>
        <v>6</v>
      </c>
    </row>
    <row r="442" spans="1:11" x14ac:dyDescent="0.2">
      <c r="A442" s="43" t="s">
        <v>56</v>
      </c>
      <c r="B442" s="44" t="s">
        <v>82</v>
      </c>
      <c r="C442" s="42">
        <f>VLOOKUP(Tabela13[[#This Row],[Origem]],Tabela1[],2,FALSE)</f>
        <v>56</v>
      </c>
      <c r="D442" s="42">
        <f>VLOOKUP(Tabela13[[#This Row],[Destino]],Tabela1[],2,FALSE)</f>
        <v>82</v>
      </c>
      <c r="E442" s="51" t="s">
        <v>511</v>
      </c>
      <c r="F442" s="52" t="s">
        <v>1024</v>
      </c>
      <c r="H442" s="42" t="str">
        <f t="shared" si="12"/>
        <v>Palácio Quitandinha_Rua da Batata Frita</v>
      </c>
      <c r="I442" s="42">
        <f t="shared" si="13"/>
        <v>1</v>
      </c>
      <c r="J442" s="53">
        <f>COUNTIFS(H$2:H442, H442)-1</f>
        <v>7</v>
      </c>
      <c r="K442" s="42" cm="1">
        <f t="array" ref="K442">IF(I442=1,
    J442,
    MAX(IF(H:H=H442, J:J)) - J442
)</f>
        <v>7</v>
      </c>
    </row>
    <row r="443" spans="1:11" x14ac:dyDescent="0.2">
      <c r="A443" s="43" t="s">
        <v>56</v>
      </c>
      <c r="B443" s="44" t="s">
        <v>82</v>
      </c>
      <c r="C443" s="42">
        <f>VLOOKUP(Tabela13[[#This Row],[Origem]],Tabela1[],2,FALSE)</f>
        <v>56</v>
      </c>
      <c r="D443" s="42">
        <f>VLOOKUP(Tabela13[[#This Row],[Destino]],Tabela1[],2,FALSE)</f>
        <v>82</v>
      </c>
      <c r="E443" s="51" t="s">
        <v>512</v>
      </c>
      <c r="F443" s="52" t="s">
        <v>1025</v>
      </c>
      <c r="H443" s="42" t="str">
        <f t="shared" si="12"/>
        <v>Palácio Quitandinha_Rua da Batata Frita</v>
      </c>
      <c r="I443" s="42">
        <f t="shared" si="13"/>
        <v>1</v>
      </c>
      <c r="J443" s="53">
        <f>COUNTIFS(H$2:H443, H443)-1</f>
        <v>8</v>
      </c>
      <c r="K443" s="42" cm="1">
        <f t="array" ref="K443">IF(I443=1,
    J443,
    MAX(IF(H:H=H443, J:J)) - J443
)</f>
        <v>8</v>
      </c>
    </row>
    <row r="444" spans="1:11" x14ac:dyDescent="0.2">
      <c r="A444" s="43" t="s">
        <v>56</v>
      </c>
      <c r="B444" s="44" t="s">
        <v>82</v>
      </c>
      <c r="C444" s="42">
        <f>VLOOKUP(Tabela13[[#This Row],[Origem]],Tabela1[],2,FALSE)</f>
        <v>56</v>
      </c>
      <c r="D444" s="42">
        <f>VLOOKUP(Tabela13[[#This Row],[Destino]],Tabela1[],2,FALSE)</f>
        <v>82</v>
      </c>
      <c r="E444" s="51" t="s">
        <v>513</v>
      </c>
      <c r="F444" s="52" t="s">
        <v>1026</v>
      </c>
      <c r="H444" s="42" t="str">
        <f t="shared" si="12"/>
        <v>Palácio Quitandinha_Rua da Batata Frita</v>
      </c>
      <c r="I444" s="42">
        <f t="shared" si="13"/>
        <v>1</v>
      </c>
      <c r="J444" s="53">
        <f>COUNTIFS(H$2:H444, H444)-1</f>
        <v>9</v>
      </c>
      <c r="K444" s="42" cm="1">
        <f t="array" ref="K444">IF(I444=1,
    J444,
    MAX(IF(H:H=H444, J:J)) - J444
)</f>
        <v>9</v>
      </c>
    </row>
    <row r="445" spans="1:11" x14ac:dyDescent="0.2">
      <c r="A445" s="43" t="s">
        <v>56</v>
      </c>
      <c r="B445" s="44" t="s">
        <v>82</v>
      </c>
      <c r="C445" s="42">
        <f>VLOOKUP(Tabela13[[#This Row],[Origem]],Tabela1[],2,FALSE)</f>
        <v>56</v>
      </c>
      <c r="D445" s="42">
        <f>VLOOKUP(Tabela13[[#This Row],[Destino]],Tabela1[],2,FALSE)</f>
        <v>82</v>
      </c>
      <c r="E445" s="51" t="s">
        <v>514</v>
      </c>
      <c r="F445" s="52" t="s">
        <v>1027</v>
      </c>
      <c r="H445" s="42" t="str">
        <f t="shared" si="12"/>
        <v>Palácio Quitandinha_Rua da Batata Frita</v>
      </c>
      <c r="I445" s="42">
        <f t="shared" si="13"/>
        <v>1</v>
      </c>
      <c r="J445" s="53">
        <f>COUNTIFS(H$2:H445, H445)-1</f>
        <v>10</v>
      </c>
      <c r="K445" s="42" cm="1">
        <f t="array" ref="K445">IF(I445=1,
    J445,
    MAX(IF(H:H=H445, J:J)) - J445
)</f>
        <v>10</v>
      </c>
    </row>
    <row r="446" spans="1:11" hidden="1" x14ac:dyDescent="0.2">
      <c r="A446" s="43" t="s">
        <v>57</v>
      </c>
      <c r="B446" s="44" t="s">
        <v>58</v>
      </c>
      <c r="C446" s="42">
        <f>VLOOKUP(Tabela13[[#This Row],[Origem]],Tabela1[],2,FALSE)</f>
        <v>57</v>
      </c>
      <c r="D446" s="42">
        <f>VLOOKUP(Tabela13[[#This Row],[Destino]],Tabela1[],2,FALSE)</f>
        <v>58</v>
      </c>
      <c r="E446" s="51" t="s">
        <v>188</v>
      </c>
      <c r="F446" s="52" t="s">
        <v>189</v>
      </c>
      <c r="H446" s="42" t="str">
        <f t="shared" si="12"/>
        <v>Pizzaria Sotilles_Ponte Bingen</v>
      </c>
      <c r="I446" s="42">
        <f t="shared" si="13"/>
        <v>1</v>
      </c>
      <c r="J446" s="53">
        <f>COUNTIFS(H$2:H446, H446)-1</f>
        <v>0</v>
      </c>
      <c r="K446" s="42" cm="1">
        <f t="array" ref="K446">IF(I446=1,
    J446,
    MAX(IF(H:H=H446, J:J)) - J446
)</f>
        <v>0</v>
      </c>
    </row>
    <row r="447" spans="1:11" x14ac:dyDescent="0.2">
      <c r="A447" s="43" t="s">
        <v>57</v>
      </c>
      <c r="B447" s="44" t="s">
        <v>105</v>
      </c>
      <c r="C447" s="42">
        <f>VLOOKUP(Tabela13[[#This Row],[Origem]],Tabela1[],2,FALSE)</f>
        <v>57</v>
      </c>
      <c r="D447" s="42">
        <f>VLOOKUP(Tabela13[[#This Row],[Destino]],Tabela1[],2,FALSE)</f>
        <v>105</v>
      </c>
      <c r="E447" s="51" t="s">
        <v>515</v>
      </c>
      <c r="F447" s="52" t="s">
        <v>1028</v>
      </c>
      <c r="H447" s="42" t="str">
        <f t="shared" si="12"/>
        <v>Pizzaria Sotilles_Vila Militar</v>
      </c>
      <c r="I447" s="42">
        <f t="shared" si="13"/>
        <v>1</v>
      </c>
      <c r="J447" s="53">
        <f>COUNTIFS(H$2:H447, H447)-1</f>
        <v>0</v>
      </c>
      <c r="K447" s="42" cm="1">
        <f t="array" ref="K447">IF(I447=1,
    J447,
    MAX(IF(H:H=H447, J:J)) - J447
)</f>
        <v>0</v>
      </c>
    </row>
    <row r="448" spans="1:11" x14ac:dyDescent="0.2">
      <c r="A448" s="43" t="s">
        <v>57</v>
      </c>
      <c r="B448" s="44" t="s">
        <v>105</v>
      </c>
      <c r="C448" s="42">
        <f>VLOOKUP(Tabela13[[#This Row],[Origem]],Tabela1[],2,FALSE)</f>
        <v>57</v>
      </c>
      <c r="D448" s="42">
        <f>VLOOKUP(Tabela13[[#This Row],[Destino]],Tabela1[],2,FALSE)</f>
        <v>105</v>
      </c>
      <c r="E448" s="51" t="s">
        <v>516</v>
      </c>
      <c r="F448" s="52" t="s">
        <v>1029</v>
      </c>
      <c r="H448" s="42" t="str">
        <f t="shared" si="12"/>
        <v>Pizzaria Sotilles_Vila Militar</v>
      </c>
      <c r="I448" s="42">
        <f t="shared" si="13"/>
        <v>1</v>
      </c>
      <c r="J448" s="53">
        <f>COUNTIFS(H$2:H448, H448)-1</f>
        <v>1</v>
      </c>
      <c r="K448" s="42" cm="1">
        <f t="array" ref="K448">IF(I448=1,
    J448,
    MAX(IF(H:H=H448, J:J)) - J448
)</f>
        <v>1</v>
      </c>
    </row>
    <row r="449" spans="1:11" x14ac:dyDescent="0.2">
      <c r="A449" s="43" t="s">
        <v>57</v>
      </c>
      <c r="B449" s="44" t="s">
        <v>105</v>
      </c>
      <c r="C449" s="42">
        <f>VLOOKUP(Tabela13[[#This Row],[Origem]],Tabela1[],2,FALSE)</f>
        <v>57</v>
      </c>
      <c r="D449" s="42">
        <f>VLOOKUP(Tabela13[[#This Row],[Destino]],Tabela1[],2,FALSE)</f>
        <v>105</v>
      </c>
      <c r="E449" s="51" t="s">
        <v>517</v>
      </c>
      <c r="F449" s="52" t="s">
        <v>1030</v>
      </c>
      <c r="H449" s="42" t="str">
        <f t="shared" si="12"/>
        <v>Pizzaria Sotilles_Vila Militar</v>
      </c>
      <c r="I449" s="42">
        <f t="shared" si="13"/>
        <v>1</v>
      </c>
      <c r="J449" s="53">
        <f>COUNTIFS(H$2:H449, H449)-1</f>
        <v>2</v>
      </c>
      <c r="K449" s="42" cm="1">
        <f t="array" ref="K449">IF(I449=1,
    J449,
    MAX(IF(H:H=H449, J:J)) - J449
)</f>
        <v>2</v>
      </c>
    </row>
    <row r="450" spans="1:11" x14ac:dyDescent="0.2">
      <c r="A450" s="43" t="s">
        <v>57</v>
      </c>
      <c r="B450" s="44" t="s">
        <v>105</v>
      </c>
      <c r="C450" s="42">
        <f>VLOOKUP(Tabela13[[#This Row],[Origem]],Tabela1[],2,FALSE)</f>
        <v>57</v>
      </c>
      <c r="D450" s="42">
        <f>VLOOKUP(Tabela13[[#This Row],[Destino]],Tabela1[],2,FALSE)</f>
        <v>105</v>
      </c>
      <c r="E450" s="51" t="s">
        <v>518</v>
      </c>
      <c r="F450" s="52" t="s">
        <v>1031</v>
      </c>
      <c r="H450" s="42" t="str">
        <f t="shared" ref="H450:H513" si="14">IF(A450&lt;B450, A450&amp;"_"&amp;B450, B450&amp;"_"&amp;A450)</f>
        <v>Pizzaria Sotilles_Vila Militar</v>
      </c>
      <c r="I450" s="42">
        <f t="shared" ref="I450:I513" si="15">IF(A450&lt;B450, 1, -1)</f>
        <v>1</v>
      </c>
      <c r="J450" s="53">
        <f>COUNTIFS(H$2:H450, H450)-1</f>
        <v>3</v>
      </c>
      <c r="K450" s="42" cm="1">
        <f t="array" ref="K450">IF(I450=1,
    J450,
    MAX(IF(H:H=H450, J:J)) - J450
)</f>
        <v>3</v>
      </c>
    </row>
    <row r="451" spans="1:11" x14ac:dyDescent="0.2">
      <c r="A451" s="43" t="s">
        <v>58</v>
      </c>
      <c r="B451" s="44" t="s">
        <v>57</v>
      </c>
      <c r="C451" s="42">
        <f>VLOOKUP(Tabela13[[#This Row],[Origem]],Tabela1[],2,FALSE)</f>
        <v>58</v>
      </c>
      <c r="D451" s="42">
        <f>VLOOKUP(Tabela13[[#This Row],[Destino]],Tabela1[],2,FALSE)</f>
        <v>57</v>
      </c>
      <c r="E451" s="51" t="s">
        <v>519</v>
      </c>
      <c r="F451" s="52" t="s">
        <v>1032</v>
      </c>
      <c r="H451" s="42" t="str">
        <f t="shared" si="14"/>
        <v>Pizzaria Sotilles_Ponte Bingen</v>
      </c>
      <c r="I451" s="42">
        <f t="shared" si="15"/>
        <v>-1</v>
      </c>
      <c r="J451" s="53">
        <f>COUNTIFS(H$2:H451, H451)-1</f>
        <v>1</v>
      </c>
      <c r="K451" s="42" cm="1">
        <f t="array" ref="K451">IF(I451=1,
    J451,
    MAX(IF(H:H=H451, J:J)) - J451
)</f>
        <v>0</v>
      </c>
    </row>
    <row r="452" spans="1:11" x14ac:dyDescent="0.2">
      <c r="A452" s="43" t="s">
        <v>58</v>
      </c>
      <c r="B452" s="44" t="s">
        <v>8</v>
      </c>
      <c r="C452" s="42">
        <f>VLOOKUP(Tabela13[[#This Row],[Origem]],Tabela1[],2,FALSE)</f>
        <v>58</v>
      </c>
      <c r="D452" s="42">
        <f>VLOOKUP(Tabela13[[#This Row],[Destino]],Tabela1[],2,FALSE)</f>
        <v>9</v>
      </c>
      <c r="E452" s="51" t="s">
        <v>520</v>
      </c>
      <c r="F452" s="52" t="s">
        <v>1033</v>
      </c>
      <c r="H452" s="42" t="str">
        <f t="shared" si="14"/>
        <v>Bairro Bingen_Ponte Bingen</v>
      </c>
      <c r="I452" s="42">
        <f t="shared" si="15"/>
        <v>-1</v>
      </c>
      <c r="J452" s="53">
        <f>COUNTIFS(H$2:H452, H452)-1</f>
        <v>0</v>
      </c>
      <c r="K452" s="42" cm="1">
        <f t="array" ref="K452">IF(I452=1,
    J452,
    MAX(IF(H:H=H452, J:J)) - J452
)</f>
        <v>20</v>
      </c>
    </row>
    <row r="453" spans="1:11" x14ac:dyDescent="0.2">
      <c r="A453" s="43" t="s">
        <v>58</v>
      </c>
      <c r="B453" s="44" t="s">
        <v>8</v>
      </c>
      <c r="C453" s="42">
        <f>VLOOKUP(Tabela13[[#This Row],[Origem]],Tabela1[],2,FALSE)</f>
        <v>58</v>
      </c>
      <c r="D453" s="42">
        <f>VLOOKUP(Tabela13[[#This Row],[Destino]],Tabela1[],2,FALSE)</f>
        <v>9</v>
      </c>
      <c r="E453" s="51" t="s">
        <v>521</v>
      </c>
      <c r="F453" s="52" t="s">
        <v>1034</v>
      </c>
      <c r="H453" s="42" t="str">
        <f t="shared" si="14"/>
        <v>Bairro Bingen_Ponte Bingen</v>
      </c>
      <c r="I453" s="42">
        <f t="shared" si="15"/>
        <v>-1</v>
      </c>
      <c r="J453" s="53">
        <f>COUNTIFS(H$2:H453, H453)-1</f>
        <v>1</v>
      </c>
      <c r="K453" s="42" cm="1">
        <f t="array" ref="K453">IF(I453=1,
    J453,
    MAX(IF(H:H=H453, J:J)) - J453
)</f>
        <v>19</v>
      </c>
    </row>
    <row r="454" spans="1:11" x14ac:dyDescent="0.2">
      <c r="A454" s="43" t="s">
        <v>58</v>
      </c>
      <c r="B454" s="44" t="s">
        <v>8</v>
      </c>
      <c r="C454" s="42">
        <f>VLOOKUP(Tabela13[[#This Row],[Origem]],Tabela1[],2,FALSE)</f>
        <v>58</v>
      </c>
      <c r="D454" s="42">
        <f>VLOOKUP(Tabela13[[#This Row],[Destino]],Tabela1[],2,FALSE)</f>
        <v>9</v>
      </c>
      <c r="E454" s="51" t="s">
        <v>522</v>
      </c>
      <c r="F454" s="52" t="s">
        <v>1035</v>
      </c>
      <c r="H454" s="42" t="str">
        <f t="shared" si="14"/>
        <v>Bairro Bingen_Ponte Bingen</v>
      </c>
      <c r="I454" s="42">
        <f t="shared" si="15"/>
        <v>-1</v>
      </c>
      <c r="J454" s="53">
        <f>COUNTIFS(H$2:H454, H454)-1</f>
        <v>2</v>
      </c>
      <c r="K454" s="42" cm="1">
        <f t="array" ref="K454">IF(I454=1,
    J454,
    MAX(IF(H:H=H454, J:J)) - J454
)</f>
        <v>18</v>
      </c>
    </row>
    <row r="455" spans="1:11" x14ac:dyDescent="0.2">
      <c r="A455" s="43" t="s">
        <v>58</v>
      </c>
      <c r="B455" s="44" t="s">
        <v>8</v>
      </c>
      <c r="C455" s="42">
        <f>VLOOKUP(Tabela13[[#This Row],[Origem]],Tabela1[],2,FALSE)</f>
        <v>58</v>
      </c>
      <c r="D455" s="42">
        <f>VLOOKUP(Tabela13[[#This Row],[Destino]],Tabela1[],2,FALSE)</f>
        <v>9</v>
      </c>
      <c r="E455" s="51" t="s">
        <v>523</v>
      </c>
      <c r="F455" s="52" t="s">
        <v>1036</v>
      </c>
      <c r="H455" s="42" t="str">
        <f t="shared" si="14"/>
        <v>Bairro Bingen_Ponte Bingen</v>
      </c>
      <c r="I455" s="42">
        <f t="shared" si="15"/>
        <v>-1</v>
      </c>
      <c r="J455" s="53">
        <f>COUNTIFS(H$2:H455, H455)-1</f>
        <v>3</v>
      </c>
      <c r="K455" s="42" cm="1">
        <f t="array" ref="K455">IF(I455=1,
    J455,
    MAX(IF(H:H=H455, J:J)) - J455
)</f>
        <v>17</v>
      </c>
    </row>
    <row r="456" spans="1:11" x14ac:dyDescent="0.2">
      <c r="A456" s="43" t="s">
        <v>58</v>
      </c>
      <c r="B456" s="44" t="s">
        <v>8</v>
      </c>
      <c r="C456" s="42">
        <f>VLOOKUP(Tabela13[[#This Row],[Origem]],Tabela1[],2,FALSE)</f>
        <v>58</v>
      </c>
      <c r="D456" s="42">
        <f>VLOOKUP(Tabela13[[#This Row],[Destino]],Tabela1[],2,FALSE)</f>
        <v>9</v>
      </c>
      <c r="E456" s="51" t="s">
        <v>524</v>
      </c>
      <c r="F456" s="52" t="s">
        <v>1037</v>
      </c>
      <c r="H456" s="42" t="str">
        <f t="shared" si="14"/>
        <v>Bairro Bingen_Ponte Bingen</v>
      </c>
      <c r="I456" s="42">
        <f t="shared" si="15"/>
        <v>-1</v>
      </c>
      <c r="J456" s="53">
        <f>COUNTIFS(H$2:H456, H456)-1</f>
        <v>4</v>
      </c>
      <c r="K456" s="42" cm="1">
        <f t="array" ref="K456">IF(I456=1,
    J456,
    MAX(IF(H:H=H456, J:J)) - J456
)</f>
        <v>16</v>
      </c>
    </row>
    <row r="457" spans="1:11" x14ac:dyDescent="0.2">
      <c r="A457" s="43" t="s">
        <v>58</v>
      </c>
      <c r="B457" s="44" t="s">
        <v>8</v>
      </c>
      <c r="C457" s="42">
        <f>VLOOKUP(Tabela13[[#This Row],[Origem]],Tabela1[],2,FALSE)</f>
        <v>58</v>
      </c>
      <c r="D457" s="42">
        <f>VLOOKUP(Tabela13[[#This Row],[Destino]],Tabela1[],2,FALSE)</f>
        <v>9</v>
      </c>
      <c r="E457" s="51" t="s">
        <v>525</v>
      </c>
      <c r="F457" s="52" t="s">
        <v>1038</v>
      </c>
      <c r="H457" s="42" t="str">
        <f t="shared" si="14"/>
        <v>Bairro Bingen_Ponte Bingen</v>
      </c>
      <c r="I457" s="42">
        <f t="shared" si="15"/>
        <v>-1</v>
      </c>
      <c r="J457" s="53">
        <f>COUNTIFS(H$2:H457, H457)-1</f>
        <v>5</v>
      </c>
      <c r="K457" s="42" cm="1">
        <f t="array" ref="K457">IF(I457=1,
    J457,
    MAX(IF(H:H=H457, J:J)) - J457
)</f>
        <v>15</v>
      </c>
    </row>
    <row r="458" spans="1:11" x14ac:dyDescent="0.2">
      <c r="A458" s="43" t="s">
        <v>58</v>
      </c>
      <c r="B458" s="44" t="s">
        <v>8</v>
      </c>
      <c r="C458" s="42">
        <f>VLOOKUP(Tabela13[[#This Row],[Origem]],Tabela1[],2,FALSE)</f>
        <v>58</v>
      </c>
      <c r="D458" s="42">
        <f>VLOOKUP(Tabela13[[#This Row],[Destino]],Tabela1[],2,FALSE)</f>
        <v>9</v>
      </c>
      <c r="E458" s="51" t="s">
        <v>526</v>
      </c>
      <c r="F458" s="52" t="s">
        <v>1039</v>
      </c>
      <c r="H458" s="42" t="str">
        <f t="shared" si="14"/>
        <v>Bairro Bingen_Ponte Bingen</v>
      </c>
      <c r="I458" s="42">
        <f t="shared" si="15"/>
        <v>-1</v>
      </c>
      <c r="J458" s="53">
        <f>COUNTIFS(H$2:H458, H458)-1</f>
        <v>6</v>
      </c>
      <c r="K458" s="42" cm="1">
        <f t="array" ref="K458">IF(I458=1,
    J458,
    MAX(IF(H:H=H458, J:J)) - J458
)</f>
        <v>14</v>
      </c>
    </row>
    <row r="459" spans="1:11" x14ac:dyDescent="0.2">
      <c r="A459" s="43" t="s">
        <v>58</v>
      </c>
      <c r="B459" s="44" t="s">
        <v>8</v>
      </c>
      <c r="C459" s="42">
        <f>VLOOKUP(Tabela13[[#This Row],[Origem]],Tabela1[],2,FALSE)</f>
        <v>58</v>
      </c>
      <c r="D459" s="42">
        <f>VLOOKUP(Tabela13[[#This Row],[Destino]],Tabela1[],2,FALSE)</f>
        <v>9</v>
      </c>
      <c r="E459" s="51" t="s">
        <v>527</v>
      </c>
      <c r="F459" s="52" t="s">
        <v>1040</v>
      </c>
      <c r="H459" s="42" t="str">
        <f t="shared" si="14"/>
        <v>Bairro Bingen_Ponte Bingen</v>
      </c>
      <c r="I459" s="42">
        <f t="shared" si="15"/>
        <v>-1</v>
      </c>
      <c r="J459" s="53">
        <f>COUNTIFS(H$2:H459, H459)-1</f>
        <v>7</v>
      </c>
      <c r="K459" s="42" cm="1">
        <f t="array" ref="K459">IF(I459=1,
    J459,
    MAX(IF(H:H=H459, J:J)) - J459
)</f>
        <v>13</v>
      </c>
    </row>
    <row r="460" spans="1:11" x14ac:dyDescent="0.2">
      <c r="A460" s="43" t="s">
        <v>58</v>
      </c>
      <c r="B460" s="44" t="s">
        <v>8</v>
      </c>
      <c r="C460" s="42">
        <f>VLOOKUP(Tabela13[[#This Row],[Origem]],Tabela1[],2,FALSE)</f>
        <v>58</v>
      </c>
      <c r="D460" s="42">
        <f>VLOOKUP(Tabela13[[#This Row],[Destino]],Tabela1[],2,FALSE)</f>
        <v>9</v>
      </c>
      <c r="E460" s="51" t="s">
        <v>528</v>
      </c>
      <c r="F460" s="52" t="s">
        <v>1041</v>
      </c>
      <c r="H460" s="42" t="str">
        <f t="shared" si="14"/>
        <v>Bairro Bingen_Ponte Bingen</v>
      </c>
      <c r="I460" s="42">
        <f t="shared" si="15"/>
        <v>-1</v>
      </c>
      <c r="J460" s="53">
        <f>COUNTIFS(H$2:H460, H460)-1</f>
        <v>8</v>
      </c>
      <c r="K460" s="42" cm="1">
        <f t="array" ref="K460">IF(I460=1,
    J460,
    MAX(IF(H:H=H460, J:J)) - J460
)</f>
        <v>12</v>
      </c>
    </row>
    <row r="461" spans="1:11" x14ac:dyDescent="0.2">
      <c r="A461" s="43" t="s">
        <v>58</v>
      </c>
      <c r="B461" s="44" t="s">
        <v>8</v>
      </c>
      <c r="C461" s="42">
        <f>VLOOKUP(Tabela13[[#This Row],[Origem]],Tabela1[],2,FALSE)</f>
        <v>58</v>
      </c>
      <c r="D461" s="42">
        <f>VLOOKUP(Tabela13[[#This Row],[Destino]],Tabela1[],2,FALSE)</f>
        <v>9</v>
      </c>
      <c r="E461" s="51" t="s">
        <v>529</v>
      </c>
      <c r="F461" s="52" t="s">
        <v>1042</v>
      </c>
      <c r="H461" s="42" t="str">
        <f t="shared" si="14"/>
        <v>Bairro Bingen_Ponte Bingen</v>
      </c>
      <c r="I461" s="42">
        <f t="shared" si="15"/>
        <v>-1</v>
      </c>
      <c r="J461" s="53">
        <f>COUNTIFS(H$2:H461, H461)-1</f>
        <v>9</v>
      </c>
      <c r="K461" s="42" cm="1">
        <f t="array" ref="K461">IF(I461=1,
    J461,
    MAX(IF(H:H=H461, J:J)) - J461
)</f>
        <v>11</v>
      </c>
    </row>
    <row r="462" spans="1:11" x14ac:dyDescent="0.2">
      <c r="A462" s="43" t="s">
        <v>58</v>
      </c>
      <c r="B462" s="44" t="s">
        <v>8</v>
      </c>
      <c r="C462" s="42">
        <f>VLOOKUP(Tabela13[[#This Row],[Origem]],Tabela1[],2,FALSE)</f>
        <v>58</v>
      </c>
      <c r="D462" s="42">
        <f>VLOOKUP(Tabela13[[#This Row],[Destino]],Tabela1[],2,FALSE)</f>
        <v>9</v>
      </c>
      <c r="E462" s="51" t="s">
        <v>530</v>
      </c>
      <c r="F462" s="52" t="s">
        <v>1043</v>
      </c>
      <c r="H462" s="42" t="str">
        <f t="shared" si="14"/>
        <v>Bairro Bingen_Ponte Bingen</v>
      </c>
      <c r="I462" s="42">
        <f t="shared" si="15"/>
        <v>-1</v>
      </c>
      <c r="J462" s="53">
        <f>COUNTIFS(H$2:H462, H462)-1</f>
        <v>10</v>
      </c>
      <c r="K462" s="42" cm="1">
        <f t="array" ref="K462">IF(I462=1,
    J462,
    MAX(IF(H:H=H462, J:J)) - J462
)</f>
        <v>10</v>
      </c>
    </row>
    <row r="463" spans="1:11" x14ac:dyDescent="0.2">
      <c r="A463" s="43" t="s">
        <v>58</v>
      </c>
      <c r="B463" s="44" t="s">
        <v>8</v>
      </c>
      <c r="C463" s="42">
        <f>VLOOKUP(Tabela13[[#This Row],[Origem]],Tabela1[],2,FALSE)</f>
        <v>58</v>
      </c>
      <c r="D463" s="42">
        <f>VLOOKUP(Tabela13[[#This Row],[Destino]],Tabela1[],2,FALSE)</f>
        <v>9</v>
      </c>
      <c r="E463" s="51" t="s">
        <v>531</v>
      </c>
      <c r="F463" s="52" t="s">
        <v>1044</v>
      </c>
      <c r="H463" s="42" t="str">
        <f t="shared" si="14"/>
        <v>Bairro Bingen_Ponte Bingen</v>
      </c>
      <c r="I463" s="42">
        <f t="shared" si="15"/>
        <v>-1</v>
      </c>
      <c r="J463" s="53">
        <f>COUNTIFS(H$2:H463, H463)-1</f>
        <v>11</v>
      </c>
      <c r="K463" s="42" cm="1">
        <f t="array" ref="K463">IF(I463=1,
    J463,
    MAX(IF(H:H=H463, J:J)) - J463
)</f>
        <v>9</v>
      </c>
    </row>
    <row r="464" spans="1:11" x14ac:dyDescent="0.2">
      <c r="A464" s="43" t="s">
        <v>58</v>
      </c>
      <c r="B464" s="44" t="s">
        <v>8</v>
      </c>
      <c r="C464" s="42">
        <f>VLOOKUP(Tabela13[[#This Row],[Origem]],Tabela1[],2,FALSE)</f>
        <v>58</v>
      </c>
      <c r="D464" s="42">
        <f>VLOOKUP(Tabela13[[#This Row],[Destino]],Tabela1[],2,FALSE)</f>
        <v>9</v>
      </c>
      <c r="E464" s="51" t="s">
        <v>532</v>
      </c>
      <c r="F464" s="52" t="s">
        <v>1045</v>
      </c>
      <c r="H464" s="42" t="str">
        <f t="shared" si="14"/>
        <v>Bairro Bingen_Ponte Bingen</v>
      </c>
      <c r="I464" s="42">
        <f t="shared" si="15"/>
        <v>-1</v>
      </c>
      <c r="J464" s="53">
        <f>COUNTIFS(H$2:H464, H464)-1</f>
        <v>12</v>
      </c>
      <c r="K464" s="42" cm="1">
        <f t="array" ref="K464">IF(I464=1,
    J464,
    MAX(IF(H:H=H464, J:J)) - J464
)</f>
        <v>8</v>
      </c>
    </row>
    <row r="465" spans="1:11" x14ac:dyDescent="0.2">
      <c r="A465" s="43" t="s">
        <v>58</v>
      </c>
      <c r="B465" s="44" t="s">
        <v>8</v>
      </c>
      <c r="C465" s="42">
        <f>VLOOKUP(Tabela13[[#This Row],[Origem]],Tabela1[],2,FALSE)</f>
        <v>58</v>
      </c>
      <c r="D465" s="42">
        <f>VLOOKUP(Tabela13[[#This Row],[Destino]],Tabela1[],2,FALSE)</f>
        <v>9</v>
      </c>
      <c r="E465" s="51" t="s">
        <v>533</v>
      </c>
      <c r="F465" s="52" t="s">
        <v>1046</v>
      </c>
      <c r="H465" s="42" t="str">
        <f t="shared" si="14"/>
        <v>Bairro Bingen_Ponte Bingen</v>
      </c>
      <c r="I465" s="42">
        <f t="shared" si="15"/>
        <v>-1</v>
      </c>
      <c r="J465" s="53">
        <f>COUNTIFS(H$2:H465, H465)-1</f>
        <v>13</v>
      </c>
      <c r="K465" s="42" cm="1">
        <f t="array" ref="K465">IF(I465=1,
    J465,
    MAX(IF(H:H=H465, J:J)) - J465
)</f>
        <v>7</v>
      </c>
    </row>
    <row r="466" spans="1:11" x14ac:dyDescent="0.2">
      <c r="A466" s="43" t="s">
        <v>58</v>
      </c>
      <c r="B466" s="44" t="s">
        <v>8</v>
      </c>
      <c r="C466" s="42">
        <f>VLOOKUP(Tabela13[[#This Row],[Origem]],Tabela1[],2,FALSE)</f>
        <v>58</v>
      </c>
      <c r="D466" s="42">
        <f>VLOOKUP(Tabela13[[#This Row],[Destino]],Tabela1[],2,FALSE)</f>
        <v>9</v>
      </c>
      <c r="E466" s="51" t="s">
        <v>534</v>
      </c>
      <c r="F466" s="52" t="s">
        <v>1047</v>
      </c>
      <c r="H466" s="42" t="str">
        <f t="shared" si="14"/>
        <v>Bairro Bingen_Ponte Bingen</v>
      </c>
      <c r="I466" s="42">
        <f t="shared" si="15"/>
        <v>-1</v>
      </c>
      <c r="J466" s="53">
        <f>COUNTIFS(H$2:H466, H466)-1</f>
        <v>14</v>
      </c>
      <c r="K466" s="42" cm="1">
        <f t="array" ref="K466">IF(I466=1,
    J466,
    MAX(IF(H:H=H466, J:J)) - J466
)</f>
        <v>6</v>
      </c>
    </row>
    <row r="467" spans="1:11" x14ac:dyDescent="0.2">
      <c r="A467" s="43" t="s">
        <v>58</v>
      </c>
      <c r="B467" s="44" t="s">
        <v>8</v>
      </c>
      <c r="C467" s="42">
        <f>VLOOKUP(Tabela13[[#This Row],[Origem]],Tabela1[],2,FALSE)</f>
        <v>58</v>
      </c>
      <c r="D467" s="42">
        <f>VLOOKUP(Tabela13[[#This Row],[Destino]],Tabela1[],2,FALSE)</f>
        <v>9</v>
      </c>
      <c r="E467" s="51" t="s">
        <v>535</v>
      </c>
      <c r="F467" s="52" t="s">
        <v>1048</v>
      </c>
      <c r="H467" s="42" t="str">
        <f t="shared" si="14"/>
        <v>Bairro Bingen_Ponte Bingen</v>
      </c>
      <c r="I467" s="42">
        <f t="shared" si="15"/>
        <v>-1</v>
      </c>
      <c r="J467" s="53">
        <f>COUNTIFS(H$2:H467, H467)-1</f>
        <v>15</v>
      </c>
      <c r="K467" s="42" cm="1">
        <f t="array" ref="K467">IF(I467=1,
    J467,
    MAX(IF(H:H=H467, J:J)) - J467
)</f>
        <v>5</v>
      </c>
    </row>
    <row r="468" spans="1:11" x14ac:dyDescent="0.2">
      <c r="A468" s="43" t="s">
        <v>58</v>
      </c>
      <c r="B468" s="44" t="s">
        <v>8</v>
      </c>
      <c r="C468" s="42">
        <f>VLOOKUP(Tabela13[[#This Row],[Origem]],Tabela1[],2,FALSE)</f>
        <v>58</v>
      </c>
      <c r="D468" s="42">
        <f>VLOOKUP(Tabela13[[#This Row],[Destino]],Tabela1[],2,FALSE)</f>
        <v>9</v>
      </c>
      <c r="E468" s="51" t="s">
        <v>536</v>
      </c>
      <c r="F468" s="52" t="s">
        <v>1049</v>
      </c>
      <c r="H468" s="42" t="str">
        <f t="shared" si="14"/>
        <v>Bairro Bingen_Ponte Bingen</v>
      </c>
      <c r="I468" s="42">
        <f t="shared" si="15"/>
        <v>-1</v>
      </c>
      <c r="J468" s="53">
        <f>COUNTIFS(H$2:H468, H468)-1</f>
        <v>16</v>
      </c>
      <c r="K468" s="42" cm="1">
        <f t="array" ref="K468">IF(I468=1,
    J468,
    MAX(IF(H:H=H468, J:J)) - J468
)</f>
        <v>4</v>
      </c>
    </row>
    <row r="469" spans="1:11" x14ac:dyDescent="0.2">
      <c r="A469" s="43" t="s">
        <v>58</v>
      </c>
      <c r="B469" s="44" t="s">
        <v>8</v>
      </c>
      <c r="C469" s="42">
        <f>VLOOKUP(Tabela13[[#This Row],[Origem]],Tabela1[],2,FALSE)</f>
        <v>58</v>
      </c>
      <c r="D469" s="42">
        <f>VLOOKUP(Tabela13[[#This Row],[Destino]],Tabela1[],2,FALSE)</f>
        <v>9</v>
      </c>
      <c r="E469" s="51" t="s">
        <v>537</v>
      </c>
      <c r="F469" s="52" t="s">
        <v>1050</v>
      </c>
      <c r="H469" s="42" t="str">
        <f t="shared" si="14"/>
        <v>Bairro Bingen_Ponte Bingen</v>
      </c>
      <c r="I469" s="42">
        <f t="shared" si="15"/>
        <v>-1</v>
      </c>
      <c r="J469" s="53">
        <f>COUNTIFS(H$2:H469, H469)-1</f>
        <v>17</v>
      </c>
      <c r="K469" s="42" cm="1">
        <f t="array" ref="K469">IF(I469=1,
    J469,
    MAX(IF(H:H=H469, J:J)) - J469
)</f>
        <v>3</v>
      </c>
    </row>
    <row r="470" spans="1:11" x14ac:dyDescent="0.2">
      <c r="A470" s="43" t="s">
        <v>58</v>
      </c>
      <c r="B470" s="44" t="s">
        <v>8</v>
      </c>
      <c r="C470" s="42">
        <f>VLOOKUP(Tabela13[[#This Row],[Origem]],Tabela1[],2,FALSE)</f>
        <v>58</v>
      </c>
      <c r="D470" s="42">
        <f>VLOOKUP(Tabela13[[#This Row],[Destino]],Tabela1[],2,FALSE)</f>
        <v>9</v>
      </c>
      <c r="E470" s="51" t="s">
        <v>232</v>
      </c>
      <c r="F470" s="52" t="s">
        <v>1051</v>
      </c>
      <c r="H470" s="42" t="str">
        <f t="shared" si="14"/>
        <v>Bairro Bingen_Ponte Bingen</v>
      </c>
      <c r="I470" s="42">
        <f t="shared" si="15"/>
        <v>-1</v>
      </c>
      <c r="J470" s="53">
        <f>COUNTIFS(H$2:H470, H470)-1</f>
        <v>18</v>
      </c>
      <c r="K470" s="42" cm="1">
        <f t="array" ref="K470">IF(I470=1,
    J470,
    MAX(IF(H:H=H470, J:J)) - J470
)</f>
        <v>2</v>
      </c>
    </row>
    <row r="471" spans="1:11" x14ac:dyDescent="0.2">
      <c r="A471" s="43" t="s">
        <v>58</v>
      </c>
      <c r="B471" s="44" t="s">
        <v>8</v>
      </c>
      <c r="C471" s="42">
        <f>VLOOKUP(Tabela13[[#This Row],[Origem]],Tabela1[],2,FALSE)</f>
        <v>58</v>
      </c>
      <c r="D471" s="42">
        <f>VLOOKUP(Tabela13[[#This Row],[Destino]],Tabela1[],2,FALSE)</f>
        <v>9</v>
      </c>
      <c r="E471" s="51" t="s">
        <v>538</v>
      </c>
      <c r="F471" s="52" t="s">
        <v>1052</v>
      </c>
      <c r="H471" s="42" t="str">
        <f t="shared" si="14"/>
        <v>Bairro Bingen_Ponte Bingen</v>
      </c>
      <c r="I471" s="42">
        <f t="shared" si="15"/>
        <v>-1</v>
      </c>
      <c r="J471" s="53">
        <f>COUNTIFS(H$2:H471, H471)-1</f>
        <v>19</v>
      </c>
      <c r="K471" s="42" cm="1">
        <f t="array" ref="K471">IF(I471=1,
    J471,
    MAX(IF(H:H=H471, J:J)) - J471
)</f>
        <v>1</v>
      </c>
    </row>
    <row r="472" spans="1:11" x14ac:dyDescent="0.2">
      <c r="A472" s="43" t="s">
        <v>58</v>
      </c>
      <c r="B472" s="44" t="s">
        <v>8</v>
      </c>
      <c r="C472" s="42">
        <f>VLOOKUP(Tabela13[[#This Row],[Origem]],Tabela1[],2,FALSE)</f>
        <v>58</v>
      </c>
      <c r="D472" s="42">
        <f>VLOOKUP(Tabela13[[#This Row],[Destino]],Tabela1[],2,FALSE)</f>
        <v>9</v>
      </c>
      <c r="E472" s="51" t="s">
        <v>539</v>
      </c>
      <c r="F472" s="52" t="s">
        <v>1053</v>
      </c>
      <c r="H472" s="42" t="str">
        <f t="shared" si="14"/>
        <v>Bairro Bingen_Ponte Bingen</v>
      </c>
      <c r="I472" s="42">
        <f t="shared" si="15"/>
        <v>-1</v>
      </c>
      <c r="J472" s="53">
        <f>COUNTIFS(H$2:H472, H472)-1</f>
        <v>20</v>
      </c>
      <c r="K472" s="42" cm="1">
        <f t="array" ref="K472">IF(I472=1,
    J472,
    MAX(IF(H:H=H472, J:J)) - J472
)</f>
        <v>0</v>
      </c>
    </row>
    <row r="473" spans="1:11" x14ac:dyDescent="0.2">
      <c r="A473" s="43" t="s">
        <v>59</v>
      </c>
      <c r="B473" s="44" t="s">
        <v>86</v>
      </c>
      <c r="C473" s="42">
        <f>VLOOKUP(Tabela13[[#This Row],[Origem]],Tabela1[],2,FALSE)</f>
        <v>59</v>
      </c>
      <c r="D473" s="42">
        <f>VLOOKUP(Tabela13[[#This Row],[Destino]],Tabela1[],2,FALSE)</f>
        <v>86</v>
      </c>
      <c r="E473" s="51" t="s">
        <v>540</v>
      </c>
      <c r="F473" s="52" t="s">
        <v>1054</v>
      </c>
      <c r="H473" s="42" t="str">
        <f t="shared" si="14"/>
        <v>Ponte Fones_Rua Dr. Thouzet</v>
      </c>
      <c r="I473" s="42">
        <f t="shared" si="15"/>
        <v>1</v>
      </c>
      <c r="J473" s="53">
        <f>COUNTIFS(H$2:H473, H473)-1</f>
        <v>0</v>
      </c>
      <c r="K473" s="42" cm="1">
        <f t="array" ref="K473">IF(I473=1,
    J473,
    MAX(IF(H:H=H473, J:J)) - J473
)</f>
        <v>0</v>
      </c>
    </row>
    <row r="474" spans="1:11" x14ac:dyDescent="0.2">
      <c r="A474" s="43" t="s">
        <v>59</v>
      </c>
      <c r="B474" s="44" t="s">
        <v>86</v>
      </c>
      <c r="C474" s="42">
        <f>VLOOKUP(Tabela13[[#This Row],[Origem]],Tabela1[],2,FALSE)</f>
        <v>59</v>
      </c>
      <c r="D474" s="42">
        <f>VLOOKUP(Tabela13[[#This Row],[Destino]],Tabela1[],2,FALSE)</f>
        <v>86</v>
      </c>
      <c r="E474" s="51" t="s">
        <v>541</v>
      </c>
      <c r="F474" s="52" t="s">
        <v>1055</v>
      </c>
      <c r="H474" s="42" t="str">
        <f t="shared" si="14"/>
        <v>Ponte Fones_Rua Dr. Thouzet</v>
      </c>
      <c r="I474" s="42">
        <f t="shared" si="15"/>
        <v>1</v>
      </c>
      <c r="J474" s="53">
        <f>COUNTIFS(H$2:H474, H474)-1</f>
        <v>1</v>
      </c>
      <c r="K474" s="42" cm="1">
        <f t="array" ref="K474">IF(I474=1,
    J474,
    MAX(IF(H:H=H474, J:J)) - J474
)</f>
        <v>1</v>
      </c>
    </row>
    <row r="475" spans="1:11" x14ac:dyDescent="0.2">
      <c r="A475" s="43" t="s">
        <v>59</v>
      </c>
      <c r="B475" s="44" t="s">
        <v>86</v>
      </c>
      <c r="C475" s="42">
        <f>VLOOKUP(Tabela13[[#This Row],[Origem]],Tabela1[],2,FALSE)</f>
        <v>59</v>
      </c>
      <c r="D475" s="42">
        <f>VLOOKUP(Tabela13[[#This Row],[Destino]],Tabela1[],2,FALSE)</f>
        <v>86</v>
      </c>
      <c r="E475" s="51" t="s">
        <v>542</v>
      </c>
      <c r="F475" s="52" t="s">
        <v>1056</v>
      </c>
      <c r="H475" s="42" t="str">
        <f t="shared" si="14"/>
        <v>Ponte Fones_Rua Dr. Thouzet</v>
      </c>
      <c r="I475" s="42">
        <f t="shared" si="15"/>
        <v>1</v>
      </c>
      <c r="J475" s="53">
        <f>COUNTIFS(H$2:H475, H475)-1</f>
        <v>2</v>
      </c>
      <c r="K475" s="42" cm="1">
        <f t="array" ref="K475">IF(I475=1,
    J475,
    MAX(IF(H:H=H475, J:J)) - J475
)</f>
        <v>2</v>
      </c>
    </row>
    <row r="476" spans="1:11" x14ac:dyDescent="0.2">
      <c r="A476" s="43" t="s">
        <v>59</v>
      </c>
      <c r="B476" s="44" t="s">
        <v>86</v>
      </c>
      <c r="C476" s="42">
        <f>VLOOKUP(Tabela13[[#This Row],[Origem]],Tabela1[],2,FALSE)</f>
        <v>59</v>
      </c>
      <c r="D476" s="42">
        <f>VLOOKUP(Tabela13[[#This Row],[Destino]],Tabela1[],2,FALSE)</f>
        <v>86</v>
      </c>
      <c r="E476" s="51" t="s">
        <v>543</v>
      </c>
      <c r="F476" s="52" t="s">
        <v>1057</v>
      </c>
      <c r="H476" s="42" t="str">
        <f t="shared" si="14"/>
        <v>Ponte Fones_Rua Dr. Thouzet</v>
      </c>
      <c r="I476" s="42">
        <f t="shared" si="15"/>
        <v>1</v>
      </c>
      <c r="J476" s="53">
        <f>COUNTIFS(H$2:H476, H476)-1</f>
        <v>3</v>
      </c>
      <c r="K476" s="42" cm="1">
        <f t="array" ref="K476">IF(I476=1,
    J476,
    MAX(IF(H:H=H476, J:J)) - J476
)</f>
        <v>3</v>
      </c>
    </row>
    <row r="477" spans="1:11" x14ac:dyDescent="0.2">
      <c r="A477" s="43" t="s">
        <v>59</v>
      </c>
      <c r="B477" s="44" t="s">
        <v>86</v>
      </c>
      <c r="C477" s="42">
        <f>VLOOKUP(Tabela13[[#This Row],[Origem]],Tabela1[],2,FALSE)</f>
        <v>59</v>
      </c>
      <c r="D477" s="42">
        <f>VLOOKUP(Tabela13[[#This Row],[Destino]],Tabela1[],2,FALSE)</f>
        <v>86</v>
      </c>
      <c r="E477" s="51" t="s">
        <v>544</v>
      </c>
      <c r="F477" s="52" t="s">
        <v>1058</v>
      </c>
      <c r="H477" s="42" t="str">
        <f t="shared" si="14"/>
        <v>Ponte Fones_Rua Dr. Thouzet</v>
      </c>
      <c r="I477" s="42">
        <f t="shared" si="15"/>
        <v>1</v>
      </c>
      <c r="J477" s="53">
        <f>COUNTIFS(H$2:H477, H477)-1</f>
        <v>4</v>
      </c>
      <c r="K477" s="42" cm="1">
        <f t="array" ref="K477">IF(I477=1,
    J477,
    MAX(IF(H:H=H477, J:J)) - J477
)</f>
        <v>4</v>
      </c>
    </row>
    <row r="478" spans="1:11" x14ac:dyDescent="0.2">
      <c r="A478" s="43" t="s">
        <v>59</v>
      </c>
      <c r="B478" s="44" t="s">
        <v>10</v>
      </c>
      <c r="C478" s="42">
        <f>VLOOKUP(Tabela13[[#This Row],[Origem]],Tabela1[],2,FALSE)</f>
        <v>59</v>
      </c>
      <c r="D478" s="42">
        <f>VLOOKUP(Tabela13[[#This Row],[Destino]],Tabela1[],2,FALSE)</f>
        <v>11</v>
      </c>
      <c r="E478" s="51" t="s">
        <v>239</v>
      </c>
      <c r="F478" s="52" t="s">
        <v>752</v>
      </c>
      <c r="H478" s="42" t="str">
        <f t="shared" si="14"/>
        <v>Bairro Castelânea_Ponte Fones</v>
      </c>
      <c r="I478" s="42">
        <f t="shared" si="15"/>
        <v>-1</v>
      </c>
      <c r="J478" s="53">
        <f>COUNTIFS(H$2:H478, H478)-1</f>
        <v>5</v>
      </c>
      <c r="K478" s="42" cm="1">
        <f t="array" ref="K478">IF(I478=1,
    J478,
    MAX(IF(H:H=H478, J:J)) - J478
)</f>
        <v>4</v>
      </c>
    </row>
    <row r="479" spans="1:11" x14ac:dyDescent="0.2">
      <c r="A479" s="43" t="s">
        <v>59</v>
      </c>
      <c r="B479" s="44" t="s">
        <v>10</v>
      </c>
      <c r="C479" s="42">
        <f>VLOOKUP(Tabela13[[#This Row],[Origem]],Tabela1[],2,FALSE)</f>
        <v>59</v>
      </c>
      <c r="D479" s="42">
        <f>VLOOKUP(Tabela13[[#This Row],[Destino]],Tabela1[],2,FALSE)</f>
        <v>11</v>
      </c>
      <c r="E479" s="51" t="s">
        <v>240</v>
      </c>
      <c r="F479" s="52" t="s">
        <v>753</v>
      </c>
      <c r="H479" s="42" t="str">
        <f t="shared" si="14"/>
        <v>Bairro Castelânea_Ponte Fones</v>
      </c>
      <c r="I479" s="42">
        <f t="shared" si="15"/>
        <v>-1</v>
      </c>
      <c r="J479" s="53">
        <f>COUNTIFS(H$2:H479, H479)-1</f>
        <v>6</v>
      </c>
      <c r="K479" s="42" cm="1">
        <f t="array" ref="K479">IF(I479=1,
    J479,
    MAX(IF(H:H=H479, J:J)) - J479
)</f>
        <v>3</v>
      </c>
    </row>
    <row r="480" spans="1:11" x14ac:dyDescent="0.2">
      <c r="A480" s="43" t="s">
        <v>59</v>
      </c>
      <c r="B480" s="44" t="s">
        <v>10</v>
      </c>
      <c r="C480" s="42">
        <f>VLOOKUP(Tabela13[[#This Row],[Origem]],Tabela1[],2,FALSE)</f>
        <v>59</v>
      </c>
      <c r="D480" s="42">
        <f>VLOOKUP(Tabela13[[#This Row],[Destino]],Tabela1[],2,FALSE)</f>
        <v>11</v>
      </c>
      <c r="E480" s="51" t="s">
        <v>241</v>
      </c>
      <c r="F480" s="52" t="s">
        <v>754</v>
      </c>
      <c r="H480" s="42" t="str">
        <f t="shared" si="14"/>
        <v>Bairro Castelânea_Ponte Fones</v>
      </c>
      <c r="I480" s="42">
        <f t="shared" si="15"/>
        <v>-1</v>
      </c>
      <c r="J480" s="53">
        <f>COUNTIFS(H$2:H480, H480)-1</f>
        <v>7</v>
      </c>
      <c r="K480" s="42" cm="1">
        <f t="array" ref="K480">IF(I480=1,
    J480,
    MAX(IF(H:H=H480, J:J)) - J480
)</f>
        <v>2</v>
      </c>
    </row>
    <row r="481" spans="1:11" x14ac:dyDescent="0.2">
      <c r="A481" s="43" t="s">
        <v>59</v>
      </c>
      <c r="B481" s="44" t="s">
        <v>10</v>
      </c>
      <c r="C481" s="42">
        <f>VLOOKUP(Tabela13[[#This Row],[Origem]],Tabela1[],2,FALSE)</f>
        <v>59</v>
      </c>
      <c r="D481" s="42">
        <f>VLOOKUP(Tabela13[[#This Row],[Destino]],Tabela1[],2,FALSE)</f>
        <v>11</v>
      </c>
      <c r="E481" s="51" t="s">
        <v>242</v>
      </c>
      <c r="F481" s="52" t="s">
        <v>755</v>
      </c>
      <c r="H481" s="42" t="str">
        <f t="shared" si="14"/>
        <v>Bairro Castelânea_Ponte Fones</v>
      </c>
      <c r="I481" s="42">
        <f t="shared" si="15"/>
        <v>-1</v>
      </c>
      <c r="J481" s="53">
        <f>COUNTIFS(H$2:H481, H481)-1</f>
        <v>8</v>
      </c>
      <c r="K481" s="42" cm="1">
        <f t="array" ref="K481">IF(I481=1,
    J481,
    MAX(IF(H:H=H481, J:J)) - J481
)</f>
        <v>1</v>
      </c>
    </row>
    <row r="482" spans="1:11" x14ac:dyDescent="0.2">
      <c r="A482" s="43" t="s">
        <v>59</v>
      </c>
      <c r="B482" s="44" t="s">
        <v>10</v>
      </c>
      <c r="C482" s="42">
        <f>VLOOKUP(Tabela13[[#This Row],[Origem]],Tabela1[],2,FALSE)</f>
        <v>59</v>
      </c>
      <c r="D482" s="42">
        <f>VLOOKUP(Tabela13[[#This Row],[Destino]],Tabela1[],2,FALSE)</f>
        <v>11</v>
      </c>
      <c r="E482" s="51" t="s">
        <v>243</v>
      </c>
      <c r="F482" s="52" t="s">
        <v>756</v>
      </c>
      <c r="H482" s="42" t="str">
        <f t="shared" si="14"/>
        <v>Bairro Castelânea_Ponte Fones</v>
      </c>
      <c r="I482" s="42">
        <f t="shared" si="15"/>
        <v>-1</v>
      </c>
      <c r="J482" s="53">
        <f>COUNTIFS(H$2:H482, H482)-1</f>
        <v>9</v>
      </c>
      <c r="K482" s="42" cm="1">
        <f t="array" ref="K482">IF(I482=1,
    J482,
    MAX(IF(H:H=H482, J:J)) - J482
)</f>
        <v>0</v>
      </c>
    </row>
    <row r="483" spans="1:11" x14ac:dyDescent="0.2">
      <c r="A483" s="43" t="s">
        <v>59</v>
      </c>
      <c r="B483" s="44" t="s">
        <v>49</v>
      </c>
      <c r="C483" s="42">
        <f>VLOOKUP(Tabela13[[#This Row],[Origem]],Tabela1[],2,FALSE)</f>
        <v>59</v>
      </c>
      <c r="D483" s="42">
        <f>VLOOKUP(Tabela13[[#This Row],[Destino]],Tabela1[],2,FALSE)</f>
        <v>49</v>
      </c>
      <c r="E483" s="51" t="s">
        <v>545</v>
      </c>
      <c r="F483" s="52" t="s">
        <v>1059</v>
      </c>
      <c r="H483" s="42" t="str">
        <f t="shared" si="14"/>
        <v>Museu Cocco Barçante_Ponte Fones</v>
      </c>
      <c r="I483" s="42">
        <f t="shared" si="15"/>
        <v>-1</v>
      </c>
      <c r="J483" s="53">
        <f>COUNTIFS(H$2:H483, H483)-1</f>
        <v>2</v>
      </c>
      <c r="K483" s="42" cm="1">
        <f t="array" ref="K483">IF(I483=1,
    J483,
    MAX(IF(H:H=H483, J:J)) - J483
)</f>
        <v>2</v>
      </c>
    </row>
    <row r="484" spans="1:11" x14ac:dyDescent="0.2">
      <c r="A484" s="43" t="s">
        <v>59</v>
      </c>
      <c r="B484" s="44" t="s">
        <v>49</v>
      </c>
      <c r="C484" s="42">
        <f>VLOOKUP(Tabela13[[#This Row],[Origem]],Tabela1[],2,FALSE)</f>
        <v>59</v>
      </c>
      <c r="D484" s="42">
        <f>VLOOKUP(Tabela13[[#This Row],[Destino]],Tabela1[],2,FALSE)</f>
        <v>49</v>
      </c>
      <c r="E484" s="51" t="s">
        <v>546</v>
      </c>
      <c r="F484" s="52" t="s">
        <v>845</v>
      </c>
      <c r="H484" s="42" t="str">
        <f t="shared" si="14"/>
        <v>Museu Cocco Barçante_Ponte Fones</v>
      </c>
      <c r="I484" s="42">
        <f t="shared" si="15"/>
        <v>-1</v>
      </c>
      <c r="J484" s="53">
        <f>COUNTIFS(H$2:H484, H484)-1</f>
        <v>3</v>
      </c>
      <c r="K484" s="42" cm="1">
        <f t="array" ref="K484">IF(I484=1,
    J484,
    MAX(IF(H:H=H484, J:J)) - J484
)</f>
        <v>1</v>
      </c>
    </row>
    <row r="485" spans="1:11" x14ac:dyDescent="0.2">
      <c r="A485" s="43" t="s">
        <v>59</v>
      </c>
      <c r="B485" s="44" t="s">
        <v>49</v>
      </c>
      <c r="C485" s="42">
        <f>VLOOKUP(Tabela13[[#This Row],[Origem]],Tabela1[],2,FALSE)</f>
        <v>59</v>
      </c>
      <c r="D485" s="42">
        <f>VLOOKUP(Tabela13[[#This Row],[Destino]],Tabela1[],2,FALSE)</f>
        <v>49</v>
      </c>
      <c r="E485" s="51" t="s">
        <v>547</v>
      </c>
      <c r="F485" s="52" t="s">
        <v>1060</v>
      </c>
      <c r="H485" s="42" t="str">
        <f t="shared" si="14"/>
        <v>Museu Cocco Barçante_Ponte Fones</v>
      </c>
      <c r="I485" s="42">
        <f t="shared" si="15"/>
        <v>-1</v>
      </c>
      <c r="J485" s="53">
        <f>COUNTIFS(H$2:H485, H485)-1</f>
        <v>4</v>
      </c>
      <c r="K485" s="42" cm="1">
        <f t="array" ref="K485">IF(I485=1,
    J485,
    MAX(IF(H:H=H485, J:J)) - J485
)</f>
        <v>0</v>
      </c>
    </row>
    <row r="486" spans="1:11" x14ac:dyDescent="0.2">
      <c r="A486" s="43" t="s">
        <v>60</v>
      </c>
      <c r="B486" s="44" t="s">
        <v>73</v>
      </c>
      <c r="C486" s="42">
        <f>VLOOKUP(Tabela13[[#This Row],[Origem]],Tabela1[],2,FALSE)</f>
        <v>60</v>
      </c>
      <c r="D486" s="42">
        <f>VLOOKUP(Tabela13[[#This Row],[Destino]],Tabela1[],2,FALSE)</f>
        <v>73</v>
      </c>
      <c r="E486" s="51" t="s">
        <v>548</v>
      </c>
      <c r="F486" s="52" t="s">
        <v>1061</v>
      </c>
      <c r="H486" s="42" t="str">
        <f t="shared" si="14"/>
        <v>Ponte Mosela_Restaurante Gehren</v>
      </c>
      <c r="I486" s="42">
        <f t="shared" si="15"/>
        <v>1</v>
      </c>
      <c r="J486" s="53">
        <f>COUNTIFS(H$2:H486, H486)-1</f>
        <v>0</v>
      </c>
      <c r="K486" s="42" cm="1">
        <f t="array" ref="K486">IF(I486=1,
    J486,
    MAX(IF(H:H=H486, J:J)) - J486
)</f>
        <v>0</v>
      </c>
    </row>
    <row r="487" spans="1:11" x14ac:dyDescent="0.2">
      <c r="A487" s="43" t="s">
        <v>60</v>
      </c>
      <c r="B487" s="44" t="s">
        <v>73</v>
      </c>
      <c r="C487" s="42">
        <f>VLOOKUP(Tabela13[[#This Row],[Origem]],Tabela1[],2,FALSE)</f>
        <v>60</v>
      </c>
      <c r="D487" s="42">
        <f>VLOOKUP(Tabela13[[#This Row],[Destino]],Tabela1[],2,FALSE)</f>
        <v>73</v>
      </c>
      <c r="E487" s="51" t="s">
        <v>549</v>
      </c>
      <c r="F487" s="52" t="s">
        <v>1062</v>
      </c>
      <c r="H487" s="42" t="str">
        <f t="shared" si="14"/>
        <v>Ponte Mosela_Restaurante Gehren</v>
      </c>
      <c r="I487" s="42">
        <f t="shared" si="15"/>
        <v>1</v>
      </c>
      <c r="J487" s="53">
        <f>COUNTIFS(H$2:H487, H487)-1</f>
        <v>1</v>
      </c>
      <c r="K487" s="42" cm="1">
        <f t="array" ref="K487">IF(I487=1,
    J487,
    MAX(IF(H:H=H487, J:J)) - J487
)</f>
        <v>1</v>
      </c>
    </row>
    <row r="488" spans="1:11" x14ac:dyDescent="0.2">
      <c r="A488" s="43" t="s">
        <v>60</v>
      </c>
      <c r="B488" s="44" t="s">
        <v>73</v>
      </c>
      <c r="C488" s="42">
        <f>VLOOKUP(Tabela13[[#This Row],[Origem]],Tabela1[],2,FALSE)</f>
        <v>60</v>
      </c>
      <c r="D488" s="42">
        <f>VLOOKUP(Tabela13[[#This Row],[Destino]],Tabela1[],2,FALSE)</f>
        <v>73</v>
      </c>
      <c r="E488" s="51" t="s">
        <v>550</v>
      </c>
      <c r="F488" s="52" t="s">
        <v>1063</v>
      </c>
      <c r="H488" s="42" t="str">
        <f t="shared" si="14"/>
        <v>Ponte Mosela_Restaurante Gehren</v>
      </c>
      <c r="I488" s="42">
        <f t="shared" si="15"/>
        <v>1</v>
      </c>
      <c r="J488" s="53">
        <f>COUNTIFS(H$2:H488, H488)-1</f>
        <v>2</v>
      </c>
      <c r="K488" s="42" cm="1">
        <f t="array" ref="K488">IF(I488=1,
    J488,
    MAX(IF(H:H=H488, J:J)) - J488
)</f>
        <v>2</v>
      </c>
    </row>
    <row r="489" spans="1:11" x14ac:dyDescent="0.2">
      <c r="A489" s="43" t="s">
        <v>61</v>
      </c>
      <c r="B489" s="44" t="s">
        <v>63</v>
      </c>
      <c r="C489" s="42">
        <f>VLOOKUP(Tabela13[[#This Row],[Origem]],Tabela1[],2,FALSE)</f>
        <v>61</v>
      </c>
      <c r="D489" s="42">
        <f>VLOOKUP(Tabela13[[#This Row],[Destino]],Tabela1[],2,FALSE)</f>
        <v>63</v>
      </c>
      <c r="E489" s="51" t="s">
        <v>551</v>
      </c>
      <c r="F489" s="52" t="s">
        <v>1064</v>
      </c>
      <c r="H489" s="42" t="str">
        <f t="shared" si="14"/>
        <v>Praça 14 Bis_Praça da Bandeira</v>
      </c>
      <c r="I489" s="42">
        <f t="shared" si="15"/>
        <v>1</v>
      </c>
      <c r="J489" s="53">
        <f>COUNTIFS(H$2:H489, H489)-1</f>
        <v>0</v>
      </c>
      <c r="K489" s="42" cm="1">
        <f t="array" ref="K489">IF(I489=1,
    J489,
    MAX(IF(H:H=H489, J:J)) - J489
)</f>
        <v>0</v>
      </c>
    </row>
    <row r="490" spans="1:11" x14ac:dyDescent="0.2">
      <c r="A490" s="43" t="s">
        <v>61</v>
      </c>
      <c r="B490" s="44" t="s">
        <v>63</v>
      </c>
      <c r="C490" s="42">
        <f>VLOOKUP(Tabela13[[#This Row],[Origem]],Tabela1[],2,FALSE)</f>
        <v>61</v>
      </c>
      <c r="D490" s="42">
        <f>VLOOKUP(Tabela13[[#This Row],[Destino]],Tabela1[],2,FALSE)</f>
        <v>63</v>
      </c>
      <c r="E490" s="51" t="s">
        <v>552</v>
      </c>
      <c r="F490" s="52" t="s">
        <v>1065</v>
      </c>
      <c r="H490" s="42" t="str">
        <f t="shared" si="14"/>
        <v>Praça 14 Bis_Praça da Bandeira</v>
      </c>
      <c r="I490" s="42">
        <f t="shared" si="15"/>
        <v>1</v>
      </c>
      <c r="J490" s="53">
        <f>COUNTIFS(H$2:H490, H490)-1</f>
        <v>1</v>
      </c>
      <c r="K490" s="42" cm="1">
        <f t="array" ref="K490">IF(I490=1,
    J490,
    MAX(IF(H:H=H490, J:J)) - J490
)</f>
        <v>1</v>
      </c>
    </row>
    <row r="491" spans="1:11" x14ac:dyDescent="0.2">
      <c r="A491" s="43" t="s">
        <v>61</v>
      </c>
      <c r="B491" s="44" t="s">
        <v>63</v>
      </c>
      <c r="C491" s="42">
        <f>VLOOKUP(Tabela13[[#This Row],[Origem]],Tabela1[],2,FALSE)</f>
        <v>61</v>
      </c>
      <c r="D491" s="42">
        <f>VLOOKUP(Tabela13[[#This Row],[Destino]],Tabela1[],2,FALSE)</f>
        <v>63</v>
      </c>
      <c r="E491" s="51" t="s">
        <v>553</v>
      </c>
      <c r="F491" s="52" t="s">
        <v>1066</v>
      </c>
      <c r="H491" s="42" t="str">
        <f t="shared" si="14"/>
        <v>Praça 14 Bis_Praça da Bandeira</v>
      </c>
      <c r="I491" s="42">
        <f t="shared" si="15"/>
        <v>1</v>
      </c>
      <c r="J491" s="53">
        <f>COUNTIFS(H$2:H491, H491)-1</f>
        <v>2</v>
      </c>
      <c r="K491" s="42" cm="1">
        <f t="array" ref="K491">IF(I491=1,
    J491,
    MAX(IF(H:H=H491, J:J)) - J491
)</f>
        <v>2</v>
      </c>
    </row>
    <row r="492" spans="1:11" hidden="1" x14ac:dyDescent="0.2">
      <c r="A492" s="43" t="s">
        <v>62</v>
      </c>
      <c r="B492" s="44" t="s">
        <v>51</v>
      </c>
      <c r="C492" s="42">
        <f>VLOOKUP(Tabela13[[#This Row],[Origem]],Tabela1[],2,FALSE)</f>
        <v>62</v>
      </c>
      <c r="D492" s="42">
        <f>VLOOKUP(Tabela13[[#This Row],[Destino]],Tabela1[],2,FALSE)</f>
        <v>51</v>
      </c>
      <c r="E492" s="51" t="s">
        <v>188</v>
      </c>
      <c r="F492" s="52" t="s">
        <v>189</v>
      </c>
      <c r="H492" s="42" t="str">
        <f t="shared" si="14"/>
        <v>Museu Imperial_Praça da Águia</v>
      </c>
      <c r="I492" s="42">
        <f t="shared" si="15"/>
        <v>-1</v>
      </c>
      <c r="J492" s="53">
        <f>COUNTIFS(H$2:H492, H492)-1</f>
        <v>1</v>
      </c>
      <c r="K492" s="42" cm="1">
        <f t="array" ref="K492">IF(I492=1,
    J492,
    MAX(IF(H:H=H492, J:J)) - J492
)</f>
        <v>0</v>
      </c>
    </row>
    <row r="493" spans="1:11" x14ac:dyDescent="0.2">
      <c r="A493" s="43" t="s">
        <v>62</v>
      </c>
      <c r="B493" s="44" t="s">
        <v>90</v>
      </c>
      <c r="C493" s="42">
        <f>VLOOKUP(Tabela13[[#This Row],[Origem]],Tabela1[],2,FALSE)</f>
        <v>62</v>
      </c>
      <c r="D493" s="42">
        <f>VLOOKUP(Tabela13[[#This Row],[Destino]],Tabela1[],2,FALSE)</f>
        <v>90</v>
      </c>
      <c r="E493" s="51" t="s">
        <v>554</v>
      </c>
      <c r="F493" s="52" t="s">
        <v>1067</v>
      </c>
      <c r="H493" s="42" t="str">
        <f t="shared" si="14"/>
        <v>Praça da Águia_Rua Nilo Peçanha</v>
      </c>
      <c r="I493" s="42">
        <f t="shared" si="15"/>
        <v>1</v>
      </c>
      <c r="J493" s="53">
        <f>COUNTIFS(H$2:H493, H493)-1</f>
        <v>0</v>
      </c>
      <c r="K493" s="42" cm="1">
        <f t="array" ref="K493">IF(I493=1,
    J493,
    MAX(IF(H:H=H493, J:J)) - J493
)</f>
        <v>0</v>
      </c>
    </row>
    <row r="494" spans="1:11" hidden="1" x14ac:dyDescent="0.2">
      <c r="A494" s="43" t="s">
        <v>63</v>
      </c>
      <c r="B494" s="44" t="s">
        <v>50</v>
      </c>
      <c r="C494" s="42">
        <f>VLOOKUP(Tabela13[[#This Row],[Origem]],Tabela1[],2,FALSE)</f>
        <v>63</v>
      </c>
      <c r="D494" s="42">
        <f>VLOOKUP(Tabela13[[#This Row],[Destino]],Tabela1[],2,FALSE)</f>
        <v>50</v>
      </c>
      <c r="E494" s="51" t="s">
        <v>188</v>
      </c>
      <c r="F494" s="52" t="s">
        <v>189</v>
      </c>
      <c r="H494" s="42" t="str">
        <f t="shared" si="14"/>
        <v>Museu de Cera_Praça da Bandeira</v>
      </c>
      <c r="I494" s="42">
        <f t="shared" si="15"/>
        <v>-1</v>
      </c>
      <c r="J494" s="53">
        <f>COUNTIFS(H$2:H494, H494)-1</f>
        <v>0</v>
      </c>
      <c r="K494" s="42" cm="1">
        <f t="array" ref="K494">IF(I494=1,
    J494,
    MAX(IF(H:H=H494, J:J)) - J494
)</f>
        <v>0</v>
      </c>
    </row>
    <row r="495" spans="1:11" x14ac:dyDescent="0.2">
      <c r="A495" s="43" t="s">
        <v>63</v>
      </c>
      <c r="B495" s="44" t="s">
        <v>70</v>
      </c>
      <c r="C495" s="42">
        <f>VLOOKUP(Tabela13[[#This Row],[Origem]],Tabela1[],2,FALSE)</f>
        <v>63</v>
      </c>
      <c r="D495" s="42">
        <f>VLOOKUP(Tabela13[[#This Row],[Destino]],Tabela1[],2,FALSE)</f>
        <v>70</v>
      </c>
      <c r="E495" s="51" t="s">
        <v>555</v>
      </c>
      <c r="F495" s="52" t="s">
        <v>1068</v>
      </c>
      <c r="H495" s="42" t="str">
        <f t="shared" si="14"/>
        <v>Praça da Bandeira_Relógio das Flores</v>
      </c>
      <c r="I495" s="42">
        <f t="shared" si="15"/>
        <v>1</v>
      </c>
      <c r="J495" s="53">
        <f>COUNTIFS(H$2:H495, H495)-1</f>
        <v>0</v>
      </c>
      <c r="K495" s="42" cm="1">
        <f t="array" ref="K495">IF(I495=1,
    J495,
    MAX(IF(H:H=H495, J:J)) - J495
)</f>
        <v>0</v>
      </c>
    </row>
    <row r="496" spans="1:11" x14ac:dyDescent="0.2">
      <c r="A496" s="43" t="s">
        <v>64</v>
      </c>
      <c r="B496" s="44" t="s">
        <v>50</v>
      </c>
      <c r="C496" s="42">
        <f>VLOOKUP(Tabela13[[#This Row],[Origem]],Tabela1[],2,FALSE)</f>
        <v>64</v>
      </c>
      <c r="D496" s="42">
        <f>VLOOKUP(Tabela13[[#This Row],[Destino]],Tabela1[],2,FALSE)</f>
        <v>50</v>
      </c>
      <c r="E496" s="51" t="s">
        <v>486</v>
      </c>
      <c r="F496" s="52" t="s">
        <v>999</v>
      </c>
      <c r="H496" s="42" t="str">
        <f t="shared" si="14"/>
        <v>Museu de Cera_Praça da Liberdade</v>
      </c>
      <c r="I496" s="42">
        <f t="shared" si="15"/>
        <v>-1</v>
      </c>
      <c r="J496" s="53">
        <f>COUNTIFS(H$2:H496, H496)-1</f>
        <v>2</v>
      </c>
      <c r="K496" s="42" cm="1">
        <f t="array" ref="K496">IF(I496=1,
    J496,
    MAX(IF(H:H=H496, J:J)) - J496
)</f>
        <v>1</v>
      </c>
    </row>
    <row r="497" spans="1:11" x14ac:dyDescent="0.2">
      <c r="A497" s="43" t="s">
        <v>64</v>
      </c>
      <c r="B497" s="44" t="s">
        <v>50</v>
      </c>
      <c r="C497" s="42">
        <f>VLOOKUP(Tabela13[[#This Row],[Origem]],Tabela1[],2,FALSE)</f>
        <v>64</v>
      </c>
      <c r="D497" s="42">
        <f>VLOOKUP(Tabela13[[#This Row],[Destino]],Tabela1[],2,FALSE)</f>
        <v>50</v>
      </c>
      <c r="E497" s="51" t="s">
        <v>487</v>
      </c>
      <c r="F497" s="52" t="s">
        <v>1000</v>
      </c>
      <c r="H497" s="42" t="str">
        <f t="shared" si="14"/>
        <v>Museu de Cera_Praça da Liberdade</v>
      </c>
      <c r="I497" s="42">
        <f t="shared" si="15"/>
        <v>-1</v>
      </c>
      <c r="J497" s="53">
        <f>COUNTIFS(H$2:H497, H497)-1</f>
        <v>3</v>
      </c>
      <c r="K497" s="42" cm="1">
        <f t="array" ref="K497">IF(I497=1,
    J497,
    MAX(IF(H:H=H497, J:J)) - J497
)</f>
        <v>0</v>
      </c>
    </row>
    <row r="498" spans="1:11" x14ac:dyDescent="0.2">
      <c r="A498" s="43" t="s">
        <v>64</v>
      </c>
      <c r="B498" s="44" t="s">
        <v>104</v>
      </c>
      <c r="C498" s="42">
        <f>VLOOKUP(Tabela13[[#This Row],[Origem]],Tabela1[],2,FALSE)</f>
        <v>64</v>
      </c>
      <c r="D498" s="42">
        <f>VLOOKUP(Tabela13[[#This Row],[Destino]],Tabela1[],2,FALSE)</f>
        <v>104</v>
      </c>
      <c r="E498" s="51" t="s">
        <v>556</v>
      </c>
      <c r="F498" s="52" t="s">
        <v>1069</v>
      </c>
      <c r="H498" s="42" t="str">
        <f t="shared" si="14"/>
        <v>Praça da Liberdade_Vila Itararé</v>
      </c>
      <c r="I498" s="42">
        <f t="shared" si="15"/>
        <v>1</v>
      </c>
      <c r="J498" s="53">
        <f>COUNTIFS(H$2:H498, H498)-1</f>
        <v>0</v>
      </c>
      <c r="K498" s="42" cm="1">
        <f t="array" ref="K498">IF(I498=1,
    J498,
    MAX(IF(H:H=H498, J:J)) - J498
)</f>
        <v>0</v>
      </c>
    </row>
    <row r="499" spans="1:11" x14ac:dyDescent="0.2">
      <c r="A499" s="43" t="s">
        <v>64</v>
      </c>
      <c r="B499" s="44" t="s">
        <v>104</v>
      </c>
      <c r="C499" s="42">
        <f>VLOOKUP(Tabela13[[#This Row],[Origem]],Tabela1[],2,FALSE)</f>
        <v>64</v>
      </c>
      <c r="D499" s="42">
        <f>VLOOKUP(Tabela13[[#This Row],[Destino]],Tabela1[],2,FALSE)</f>
        <v>104</v>
      </c>
      <c r="E499" s="51" t="s">
        <v>557</v>
      </c>
      <c r="F499" s="52" t="s">
        <v>1070</v>
      </c>
      <c r="H499" s="42" t="str">
        <f t="shared" si="14"/>
        <v>Praça da Liberdade_Vila Itararé</v>
      </c>
      <c r="I499" s="42">
        <f t="shared" si="15"/>
        <v>1</v>
      </c>
      <c r="J499" s="53">
        <f>COUNTIFS(H$2:H499, H499)-1</f>
        <v>1</v>
      </c>
      <c r="K499" s="42" cm="1">
        <f t="array" ref="K499">IF(I499=1,
    J499,
    MAX(IF(H:H=H499, J:J)) - J499
)</f>
        <v>1</v>
      </c>
    </row>
    <row r="500" spans="1:11" hidden="1" x14ac:dyDescent="0.2">
      <c r="A500" s="43" t="s">
        <v>65</v>
      </c>
      <c r="B500" s="44" t="s">
        <v>71</v>
      </c>
      <c r="C500" s="42">
        <f>VLOOKUP(Tabela13[[#This Row],[Origem]],Tabela1[],2,FALSE)</f>
        <v>65</v>
      </c>
      <c r="D500" s="42">
        <f>VLOOKUP(Tabela13[[#This Row],[Destino]],Tabela1[],2,FALSE)</f>
        <v>71</v>
      </c>
      <c r="E500" s="51" t="s">
        <v>188</v>
      </c>
      <c r="F500" s="52" t="s">
        <v>189</v>
      </c>
      <c r="H500" s="42" t="str">
        <f t="shared" si="14"/>
        <v>Praça Dom Pedro_Restaurante D'Angelo</v>
      </c>
      <c r="I500" s="42">
        <f t="shared" si="15"/>
        <v>1</v>
      </c>
      <c r="J500" s="53">
        <f>COUNTIFS(H$2:H500, H500)-1</f>
        <v>0</v>
      </c>
      <c r="K500" s="42" cm="1">
        <f t="array" ref="K500">IF(I500=1,
    J500,
    MAX(IF(H:H=H500, J:J)) - J500
)</f>
        <v>0</v>
      </c>
    </row>
    <row r="501" spans="1:11" hidden="1" x14ac:dyDescent="0.2">
      <c r="A501" s="43" t="s">
        <v>65</v>
      </c>
      <c r="B501" s="44" t="s">
        <v>26</v>
      </c>
      <c r="C501" s="42">
        <f>VLOOKUP(Tabela13[[#This Row],[Origem]],Tabela1[],2,FALSE)</f>
        <v>65</v>
      </c>
      <c r="D501" s="42">
        <f>VLOOKUP(Tabela13[[#This Row],[Destino]],Tabela1[],2,FALSE)</f>
        <v>26</v>
      </c>
      <c r="E501" s="51" t="s">
        <v>188</v>
      </c>
      <c r="F501" s="52" t="s">
        <v>189</v>
      </c>
      <c r="H501" s="42" t="str">
        <f t="shared" si="14"/>
        <v>Chafariz_Praça Dom Pedro</v>
      </c>
      <c r="I501" s="42">
        <f t="shared" si="15"/>
        <v>-1</v>
      </c>
      <c r="J501" s="53">
        <f>COUNTIFS(H$2:H501, H501)-1</f>
        <v>0</v>
      </c>
      <c r="K501" s="42" cm="1">
        <f t="array" ref="K501">IF(I501=1,
    J501,
    MAX(IF(H:H=H501, J:J)) - J501
)</f>
        <v>0</v>
      </c>
    </row>
    <row r="502" spans="1:11" hidden="1" x14ac:dyDescent="0.2">
      <c r="A502" s="43" t="s">
        <v>66</v>
      </c>
      <c r="B502" s="44" t="s">
        <v>14</v>
      </c>
      <c r="C502" s="42">
        <f>VLOOKUP(Tabela13[[#This Row],[Origem]],Tabela1[],2,FALSE)</f>
        <v>66</v>
      </c>
      <c r="D502" s="42">
        <f>VLOOKUP(Tabela13[[#This Row],[Destino]],Tabela1[],2,FALSE)</f>
        <v>15</v>
      </c>
      <c r="E502" s="51" t="s">
        <v>188</v>
      </c>
      <c r="F502" s="52" t="s">
        <v>189</v>
      </c>
      <c r="H502" s="42" t="str">
        <f t="shared" si="14"/>
        <v>Banca de Jornal_Praça dos Expedicionários</v>
      </c>
      <c r="I502" s="42">
        <f t="shared" si="15"/>
        <v>-1</v>
      </c>
      <c r="J502" s="53">
        <f>COUNTIFS(H$2:H502, H502)-1</f>
        <v>0</v>
      </c>
      <c r="K502" s="42" cm="1">
        <f t="array" ref="K502">IF(I502=1,
    J502,
    MAX(IF(H:H=H502, J:J)) - J502
)</f>
        <v>0</v>
      </c>
    </row>
    <row r="503" spans="1:11" hidden="1" x14ac:dyDescent="0.2">
      <c r="A503" s="43" t="s">
        <v>66</v>
      </c>
      <c r="B503" s="44" t="s">
        <v>25</v>
      </c>
      <c r="C503" s="42">
        <f>VLOOKUP(Tabela13[[#This Row],[Origem]],Tabela1[],2,FALSE)</f>
        <v>66</v>
      </c>
      <c r="D503" s="42">
        <f>VLOOKUP(Tabela13[[#This Row],[Destino]],Tabela1[],2,FALSE)</f>
        <v>25</v>
      </c>
      <c r="E503" s="51" t="s">
        <v>188</v>
      </c>
      <c r="F503" s="52" t="s">
        <v>189</v>
      </c>
      <c r="H503" s="42" t="str">
        <f t="shared" si="14"/>
        <v>Centro_Praça dos Expedicionários</v>
      </c>
      <c r="I503" s="42">
        <f t="shared" si="15"/>
        <v>-1</v>
      </c>
      <c r="J503" s="53">
        <f>COUNTIFS(H$2:H503, H503)-1</f>
        <v>0</v>
      </c>
      <c r="K503" s="42" cm="1">
        <f t="array" ref="K503">IF(I503=1,
    J503,
    MAX(IF(H:H=H503, J:J)) - J503
)</f>
        <v>0</v>
      </c>
    </row>
    <row r="504" spans="1:11" x14ac:dyDescent="0.2">
      <c r="A504" s="43" t="s">
        <v>67</v>
      </c>
      <c r="B504" s="44" t="s">
        <v>24</v>
      </c>
      <c r="C504" s="42">
        <f>VLOOKUP(Tabela13[[#This Row],[Origem]],Tabela1[],2,FALSE)</f>
        <v>67</v>
      </c>
      <c r="D504" s="42">
        <f>VLOOKUP(Tabela13[[#This Row],[Destino]],Tabela1[],2,FALSE)</f>
        <v>24</v>
      </c>
      <c r="E504" s="51" t="s">
        <v>374</v>
      </c>
      <c r="F504" s="52" t="s">
        <v>889</v>
      </c>
      <c r="H504" s="42" t="str">
        <f t="shared" si="14"/>
        <v>Cemitério_Praça Oswaldo Cruz</v>
      </c>
      <c r="I504" s="42">
        <f t="shared" si="15"/>
        <v>-1</v>
      </c>
      <c r="J504" s="53">
        <f>COUNTIFS(H$2:H504, H504)-1</f>
        <v>6</v>
      </c>
      <c r="K504" s="42" cm="1">
        <f t="array" ref="K504">IF(I504=1,
    J504,
    MAX(IF(H:H=H504, J:J)) - J504
)</f>
        <v>6</v>
      </c>
    </row>
    <row r="505" spans="1:11" x14ac:dyDescent="0.2">
      <c r="A505" s="43" t="s">
        <v>67</v>
      </c>
      <c r="B505" s="44" t="s">
        <v>24</v>
      </c>
      <c r="C505" s="42">
        <f>VLOOKUP(Tabela13[[#This Row],[Origem]],Tabela1[],2,FALSE)</f>
        <v>67</v>
      </c>
      <c r="D505" s="42">
        <f>VLOOKUP(Tabela13[[#This Row],[Destino]],Tabela1[],2,FALSE)</f>
        <v>24</v>
      </c>
      <c r="E505" s="51" t="s">
        <v>375</v>
      </c>
      <c r="F505" s="52" t="s">
        <v>890</v>
      </c>
      <c r="H505" s="42" t="str">
        <f t="shared" si="14"/>
        <v>Cemitério_Praça Oswaldo Cruz</v>
      </c>
      <c r="I505" s="42">
        <f t="shared" si="15"/>
        <v>-1</v>
      </c>
      <c r="J505" s="53">
        <f>COUNTIFS(H$2:H505, H505)-1</f>
        <v>7</v>
      </c>
      <c r="K505" s="42" cm="1">
        <f t="array" ref="K505">IF(I505=1,
    J505,
    MAX(IF(H:H=H505, J:J)) - J505
)</f>
        <v>5</v>
      </c>
    </row>
    <row r="506" spans="1:11" x14ac:dyDescent="0.2">
      <c r="A506" s="43" t="s">
        <v>67</v>
      </c>
      <c r="B506" s="44" t="s">
        <v>24</v>
      </c>
      <c r="C506" s="42">
        <f>VLOOKUP(Tabela13[[#This Row],[Origem]],Tabela1[],2,FALSE)</f>
        <v>67</v>
      </c>
      <c r="D506" s="42">
        <f>VLOOKUP(Tabela13[[#This Row],[Destino]],Tabela1[],2,FALSE)</f>
        <v>24</v>
      </c>
      <c r="E506" s="51" t="s">
        <v>376</v>
      </c>
      <c r="F506" s="52" t="s">
        <v>891</v>
      </c>
      <c r="H506" s="42" t="str">
        <f t="shared" si="14"/>
        <v>Cemitério_Praça Oswaldo Cruz</v>
      </c>
      <c r="I506" s="42">
        <f t="shared" si="15"/>
        <v>-1</v>
      </c>
      <c r="J506" s="53">
        <f>COUNTIFS(H$2:H506, H506)-1</f>
        <v>8</v>
      </c>
      <c r="K506" s="42" cm="1">
        <f t="array" ref="K506">IF(I506=1,
    J506,
    MAX(IF(H:H=H506, J:J)) - J506
)</f>
        <v>4</v>
      </c>
    </row>
    <row r="507" spans="1:11" x14ac:dyDescent="0.2">
      <c r="A507" s="43" t="s">
        <v>67</v>
      </c>
      <c r="B507" s="44" t="s">
        <v>24</v>
      </c>
      <c r="C507" s="42">
        <f>VLOOKUP(Tabela13[[#This Row],[Origem]],Tabela1[],2,FALSE)</f>
        <v>67</v>
      </c>
      <c r="D507" s="42">
        <f>VLOOKUP(Tabela13[[#This Row],[Destino]],Tabela1[],2,FALSE)</f>
        <v>24</v>
      </c>
      <c r="E507" s="51" t="s">
        <v>377</v>
      </c>
      <c r="F507" s="52" t="s">
        <v>888</v>
      </c>
      <c r="H507" s="42" t="str">
        <f t="shared" si="14"/>
        <v>Cemitério_Praça Oswaldo Cruz</v>
      </c>
      <c r="I507" s="42">
        <f t="shared" si="15"/>
        <v>-1</v>
      </c>
      <c r="J507" s="53">
        <f>COUNTIFS(H$2:H507, H507)-1</f>
        <v>9</v>
      </c>
      <c r="K507" s="42" cm="1">
        <f t="array" ref="K507">IF(I507=1,
    J507,
    MAX(IF(H:H=H507, J:J)) - J507
)</f>
        <v>3</v>
      </c>
    </row>
    <row r="508" spans="1:11" x14ac:dyDescent="0.2">
      <c r="A508" s="43" t="s">
        <v>67</v>
      </c>
      <c r="B508" s="44" t="s">
        <v>24</v>
      </c>
      <c r="C508" s="42">
        <f>VLOOKUP(Tabela13[[#This Row],[Origem]],Tabela1[],2,FALSE)</f>
        <v>67</v>
      </c>
      <c r="D508" s="42">
        <f>VLOOKUP(Tabela13[[#This Row],[Destino]],Tabela1[],2,FALSE)</f>
        <v>24</v>
      </c>
      <c r="E508" s="51" t="s">
        <v>378</v>
      </c>
      <c r="F508" s="52" t="s">
        <v>892</v>
      </c>
      <c r="H508" s="42" t="str">
        <f t="shared" si="14"/>
        <v>Cemitério_Praça Oswaldo Cruz</v>
      </c>
      <c r="I508" s="42">
        <f t="shared" si="15"/>
        <v>-1</v>
      </c>
      <c r="J508" s="53">
        <f>COUNTIFS(H$2:H508, H508)-1</f>
        <v>10</v>
      </c>
      <c r="K508" s="42" cm="1">
        <f t="array" ref="K508">IF(I508=1,
    J508,
    MAX(IF(H:H=H508, J:J)) - J508
)</f>
        <v>2</v>
      </c>
    </row>
    <row r="509" spans="1:11" x14ac:dyDescent="0.2">
      <c r="A509" s="43" t="s">
        <v>67</v>
      </c>
      <c r="B509" s="44" t="s">
        <v>24</v>
      </c>
      <c r="C509" s="42">
        <f>VLOOKUP(Tabela13[[#This Row],[Origem]],Tabela1[],2,FALSE)</f>
        <v>67</v>
      </c>
      <c r="D509" s="42">
        <f>VLOOKUP(Tabela13[[#This Row],[Destino]],Tabela1[],2,FALSE)</f>
        <v>24</v>
      </c>
      <c r="E509" s="51" t="s">
        <v>379</v>
      </c>
      <c r="F509" s="52" t="s">
        <v>893</v>
      </c>
      <c r="H509" s="42" t="str">
        <f t="shared" si="14"/>
        <v>Cemitério_Praça Oswaldo Cruz</v>
      </c>
      <c r="I509" s="42">
        <f t="shared" si="15"/>
        <v>-1</v>
      </c>
      <c r="J509" s="53">
        <f>COUNTIFS(H$2:H509, H509)-1</f>
        <v>11</v>
      </c>
      <c r="K509" s="42" cm="1">
        <f t="array" ref="K509">IF(I509=1,
    J509,
    MAX(IF(H:H=H509, J:J)) - J509
)</f>
        <v>1</v>
      </c>
    </row>
    <row r="510" spans="1:11" x14ac:dyDescent="0.2">
      <c r="A510" s="43" t="s">
        <v>67</v>
      </c>
      <c r="B510" s="44" t="s">
        <v>24</v>
      </c>
      <c r="C510" s="42">
        <f>VLOOKUP(Tabela13[[#This Row],[Origem]],Tabela1[],2,FALSE)</f>
        <v>67</v>
      </c>
      <c r="D510" s="42">
        <f>VLOOKUP(Tabela13[[#This Row],[Destino]],Tabela1[],2,FALSE)</f>
        <v>24</v>
      </c>
      <c r="E510" s="51" t="s">
        <v>380</v>
      </c>
      <c r="F510" s="52" t="s">
        <v>894</v>
      </c>
      <c r="H510" s="42" t="str">
        <f t="shared" si="14"/>
        <v>Cemitério_Praça Oswaldo Cruz</v>
      </c>
      <c r="I510" s="42">
        <f t="shared" si="15"/>
        <v>-1</v>
      </c>
      <c r="J510" s="53">
        <f>COUNTIFS(H$2:H510, H510)-1</f>
        <v>12</v>
      </c>
      <c r="K510" s="42" cm="1">
        <f t="array" ref="K510">IF(I510=1,
    J510,
    MAX(IF(H:H=H510, J:J)) - J510
)</f>
        <v>0</v>
      </c>
    </row>
    <row r="511" spans="1:11" x14ac:dyDescent="0.2">
      <c r="A511" s="43" t="s">
        <v>67</v>
      </c>
      <c r="B511" s="44" t="s">
        <v>39</v>
      </c>
      <c r="C511" s="42">
        <f>VLOOKUP(Tabela13[[#This Row],[Origem]],Tabela1[],2,FALSE)</f>
        <v>67</v>
      </c>
      <c r="D511" s="42">
        <f>VLOOKUP(Tabela13[[#This Row],[Destino]],Tabela1[],2,FALSE)</f>
        <v>39</v>
      </c>
      <c r="E511" s="51" t="s">
        <v>558</v>
      </c>
      <c r="F511" s="52" t="s">
        <v>1071</v>
      </c>
      <c r="H511" s="42" t="str">
        <f t="shared" si="14"/>
        <v>Igreja do Sagrado_Praça Oswaldo Cruz</v>
      </c>
      <c r="I511" s="42">
        <f t="shared" si="15"/>
        <v>-1</v>
      </c>
      <c r="J511" s="53">
        <f>COUNTIFS(H$2:H511, H511)-1</f>
        <v>0</v>
      </c>
      <c r="K511" s="42" cm="1">
        <f t="array" ref="K511">IF(I511=1,
    J511,
    MAX(IF(H:H=H511, J:J)) - J511
)</f>
        <v>0</v>
      </c>
    </row>
    <row r="512" spans="1:11" x14ac:dyDescent="0.2">
      <c r="A512" s="43" t="s">
        <v>68</v>
      </c>
      <c r="B512" s="44" t="s">
        <v>10</v>
      </c>
      <c r="C512" s="42">
        <f>VLOOKUP(Tabela13[[#This Row],[Origem]],Tabela1[],2,FALSE)</f>
        <v>68</v>
      </c>
      <c r="D512" s="42">
        <f>VLOOKUP(Tabela13[[#This Row],[Destino]],Tabela1[],2,FALSE)</f>
        <v>11</v>
      </c>
      <c r="E512" s="51" t="s">
        <v>247</v>
      </c>
      <c r="F512" s="52" t="s">
        <v>760</v>
      </c>
      <c r="H512" s="42" t="str">
        <f t="shared" si="14"/>
        <v>Bairro Castelânea_Praça Pasteur</v>
      </c>
      <c r="I512" s="42">
        <f t="shared" si="15"/>
        <v>-1</v>
      </c>
      <c r="J512" s="53">
        <f>COUNTIFS(H$2:H512, H512)-1</f>
        <v>9</v>
      </c>
      <c r="K512" s="42" cm="1">
        <f t="array" ref="K512">IF(I512=1,
    J512,
    MAX(IF(H:H=H512, J:J)) - J512
)</f>
        <v>8</v>
      </c>
    </row>
    <row r="513" spans="1:11" x14ac:dyDescent="0.2">
      <c r="A513" s="43" t="s">
        <v>68</v>
      </c>
      <c r="B513" s="44" t="s">
        <v>10</v>
      </c>
      <c r="C513" s="42">
        <f>VLOOKUP(Tabela13[[#This Row],[Origem]],Tabela1[],2,FALSE)</f>
        <v>68</v>
      </c>
      <c r="D513" s="42">
        <f>VLOOKUP(Tabela13[[#This Row],[Destino]],Tabela1[],2,FALSE)</f>
        <v>11</v>
      </c>
      <c r="E513" s="51" t="s">
        <v>248</v>
      </c>
      <c r="F513" s="52" t="s">
        <v>761</v>
      </c>
      <c r="H513" s="42" t="str">
        <f t="shared" si="14"/>
        <v>Bairro Castelânea_Praça Pasteur</v>
      </c>
      <c r="I513" s="42">
        <f t="shared" si="15"/>
        <v>-1</v>
      </c>
      <c r="J513" s="53">
        <f>COUNTIFS(H$2:H513, H513)-1</f>
        <v>10</v>
      </c>
      <c r="K513" s="42" cm="1">
        <f t="array" ref="K513">IF(I513=1,
    J513,
    MAX(IF(H:H=H513, J:J)) - J513
)</f>
        <v>7</v>
      </c>
    </row>
    <row r="514" spans="1:11" x14ac:dyDescent="0.2">
      <c r="A514" s="43" t="s">
        <v>68</v>
      </c>
      <c r="B514" s="44" t="s">
        <v>10</v>
      </c>
      <c r="C514" s="42">
        <f>VLOOKUP(Tabela13[[#This Row],[Origem]],Tabela1[],2,FALSE)</f>
        <v>68</v>
      </c>
      <c r="D514" s="42">
        <f>VLOOKUP(Tabela13[[#This Row],[Destino]],Tabela1[],2,FALSE)</f>
        <v>11</v>
      </c>
      <c r="E514" s="51" t="s">
        <v>249</v>
      </c>
      <c r="F514" s="52" t="s">
        <v>762</v>
      </c>
      <c r="H514" s="42" t="str">
        <f t="shared" ref="H514:H577" si="16">IF(A514&lt;B514, A514&amp;"_"&amp;B514, B514&amp;"_"&amp;A514)</f>
        <v>Bairro Castelânea_Praça Pasteur</v>
      </c>
      <c r="I514" s="42">
        <f t="shared" ref="I514:I577" si="17">IF(A514&lt;B514, 1, -1)</f>
        <v>-1</v>
      </c>
      <c r="J514" s="53">
        <f>COUNTIFS(H$2:H514, H514)-1</f>
        <v>11</v>
      </c>
      <c r="K514" s="42" cm="1">
        <f t="array" ref="K514">IF(I514=1,
    J514,
    MAX(IF(H:H=H514, J:J)) - J514
)</f>
        <v>6</v>
      </c>
    </row>
    <row r="515" spans="1:11" x14ac:dyDescent="0.2">
      <c r="A515" s="43" t="s">
        <v>68</v>
      </c>
      <c r="B515" s="44" t="s">
        <v>10</v>
      </c>
      <c r="C515" s="42">
        <f>VLOOKUP(Tabela13[[#This Row],[Origem]],Tabela1[],2,FALSE)</f>
        <v>68</v>
      </c>
      <c r="D515" s="42">
        <f>VLOOKUP(Tabela13[[#This Row],[Destino]],Tabela1[],2,FALSE)</f>
        <v>11</v>
      </c>
      <c r="E515" s="51" t="s">
        <v>250</v>
      </c>
      <c r="F515" s="52" t="s">
        <v>763</v>
      </c>
      <c r="H515" s="42" t="str">
        <f t="shared" si="16"/>
        <v>Bairro Castelânea_Praça Pasteur</v>
      </c>
      <c r="I515" s="42">
        <f t="shared" si="17"/>
        <v>-1</v>
      </c>
      <c r="J515" s="53">
        <f>COUNTIFS(H$2:H515, H515)-1</f>
        <v>12</v>
      </c>
      <c r="K515" s="42" cm="1">
        <f t="array" ref="K515">IF(I515=1,
    J515,
    MAX(IF(H:H=H515, J:J)) - J515
)</f>
        <v>5</v>
      </c>
    </row>
    <row r="516" spans="1:11" x14ac:dyDescent="0.2">
      <c r="A516" s="43" t="s">
        <v>68</v>
      </c>
      <c r="B516" s="44" t="s">
        <v>10</v>
      </c>
      <c r="C516" s="42">
        <f>VLOOKUP(Tabela13[[#This Row],[Origem]],Tabela1[],2,FALSE)</f>
        <v>68</v>
      </c>
      <c r="D516" s="42">
        <f>VLOOKUP(Tabela13[[#This Row],[Destino]],Tabela1[],2,FALSE)</f>
        <v>11</v>
      </c>
      <c r="E516" s="51" t="s">
        <v>251</v>
      </c>
      <c r="F516" s="52" t="s">
        <v>764</v>
      </c>
      <c r="H516" s="42" t="str">
        <f t="shared" si="16"/>
        <v>Bairro Castelânea_Praça Pasteur</v>
      </c>
      <c r="I516" s="42">
        <f t="shared" si="17"/>
        <v>-1</v>
      </c>
      <c r="J516" s="53">
        <f>COUNTIFS(H$2:H516, H516)-1</f>
        <v>13</v>
      </c>
      <c r="K516" s="42" cm="1">
        <f t="array" ref="K516">IF(I516=1,
    J516,
    MAX(IF(H:H=H516, J:J)) - J516
)</f>
        <v>4</v>
      </c>
    </row>
    <row r="517" spans="1:11" x14ac:dyDescent="0.2">
      <c r="A517" s="43" t="s">
        <v>68</v>
      </c>
      <c r="B517" s="44" t="s">
        <v>10</v>
      </c>
      <c r="C517" s="42">
        <f>VLOOKUP(Tabela13[[#This Row],[Origem]],Tabela1[],2,FALSE)</f>
        <v>68</v>
      </c>
      <c r="D517" s="42">
        <f>VLOOKUP(Tabela13[[#This Row],[Destino]],Tabela1[],2,FALSE)</f>
        <v>11</v>
      </c>
      <c r="E517" s="51" t="s">
        <v>252</v>
      </c>
      <c r="F517" s="52" t="s">
        <v>765</v>
      </c>
      <c r="H517" s="42" t="str">
        <f t="shared" si="16"/>
        <v>Bairro Castelânea_Praça Pasteur</v>
      </c>
      <c r="I517" s="42">
        <f t="shared" si="17"/>
        <v>-1</v>
      </c>
      <c r="J517" s="53">
        <f>COUNTIFS(H$2:H517, H517)-1</f>
        <v>14</v>
      </c>
      <c r="K517" s="42" cm="1">
        <f t="array" ref="K517">IF(I517=1,
    J517,
    MAX(IF(H:H=H517, J:J)) - J517
)</f>
        <v>3</v>
      </c>
    </row>
    <row r="518" spans="1:11" x14ac:dyDescent="0.2">
      <c r="A518" s="43" t="s">
        <v>68</v>
      </c>
      <c r="B518" s="44" t="s">
        <v>10</v>
      </c>
      <c r="C518" s="42">
        <f>VLOOKUP(Tabela13[[#This Row],[Origem]],Tabela1[],2,FALSE)</f>
        <v>68</v>
      </c>
      <c r="D518" s="42">
        <f>VLOOKUP(Tabela13[[#This Row],[Destino]],Tabela1[],2,FALSE)</f>
        <v>11</v>
      </c>
      <c r="E518" s="51" t="s">
        <v>253</v>
      </c>
      <c r="F518" s="52" t="s">
        <v>766</v>
      </c>
      <c r="H518" s="42" t="str">
        <f t="shared" si="16"/>
        <v>Bairro Castelânea_Praça Pasteur</v>
      </c>
      <c r="I518" s="42">
        <f t="shared" si="17"/>
        <v>-1</v>
      </c>
      <c r="J518" s="53">
        <f>COUNTIFS(H$2:H518, H518)-1</f>
        <v>15</v>
      </c>
      <c r="K518" s="42" cm="1">
        <f t="array" ref="K518">IF(I518=1,
    J518,
    MAX(IF(H:H=H518, J:J)) - J518
)</f>
        <v>2</v>
      </c>
    </row>
    <row r="519" spans="1:11" x14ac:dyDescent="0.2">
      <c r="A519" s="43" t="s">
        <v>68</v>
      </c>
      <c r="B519" s="44" t="s">
        <v>10</v>
      </c>
      <c r="C519" s="42">
        <f>VLOOKUP(Tabela13[[#This Row],[Origem]],Tabela1[],2,FALSE)</f>
        <v>68</v>
      </c>
      <c r="D519" s="42">
        <f>VLOOKUP(Tabela13[[#This Row],[Destino]],Tabela1[],2,FALSE)</f>
        <v>11</v>
      </c>
      <c r="E519" s="51" t="s">
        <v>254</v>
      </c>
      <c r="F519" s="52" t="s">
        <v>767</v>
      </c>
      <c r="H519" s="42" t="str">
        <f t="shared" si="16"/>
        <v>Bairro Castelânea_Praça Pasteur</v>
      </c>
      <c r="I519" s="42">
        <f t="shared" si="17"/>
        <v>-1</v>
      </c>
      <c r="J519" s="53">
        <f>COUNTIFS(H$2:H519, H519)-1</f>
        <v>16</v>
      </c>
      <c r="K519" s="42" cm="1">
        <f t="array" ref="K519">IF(I519=1,
    J519,
    MAX(IF(H:H=H519, J:J)) - J519
)</f>
        <v>1</v>
      </c>
    </row>
    <row r="520" spans="1:11" x14ac:dyDescent="0.2">
      <c r="A520" s="43" t="s">
        <v>68</v>
      </c>
      <c r="B520" s="44" t="s">
        <v>10</v>
      </c>
      <c r="C520" s="42">
        <f>VLOOKUP(Tabela13[[#This Row],[Origem]],Tabela1[],2,FALSE)</f>
        <v>68</v>
      </c>
      <c r="D520" s="42">
        <f>VLOOKUP(Tabela13[[#This Row],[Destino]],Tabela1[],2,FALSE)</f>
        <v>11</v>
      </c>
      <c r="E520" s="51" t="s">
        <v>255</v>
      </c>
      <c r="F520" s="52" t="s">
        <v>768</v>
      </c>
      <c r="H520" s="42" t="str">
        <f t="shared" si="16"/>
        <v>Bairro Castelânea_Praça Pasteur</v>
      </c>
      <c r="I520" s="42">
        <f t="shared" si="17"/>
        <v>-1</v>
      </c>
      <c r="J520" s="53">
        <f>COUNTIFS(H$2:H520, H520)-1</f>
        <v>17</v>
      </c>
      <c r="K520" s="42" cm="1">
        <f t="array" ref="K520">IF(I520=1,
    J520,
    MAX(IF(H:H=H520, J:J)) - J520
)</f>
        <v>0</v>
      </c>
    </row>
    <row r="521" spans="1:11" x14ac:dyDescent="0.2">
      <c r="A521" s="43" t="s">
        <v>68</v>
      </c>
      <c r="B521" s="44" t="s">
        <v>31</v>
      </c>
      <c r="C521" s="42">
        <f>VLOOKUP(Tabela13[[#This Row],[Origem]],Tabela1[],2,FALSE)</f>
        <v>68</v>
      </c>
      <c r="D521" s="42">
        <f>VLOOKUP(Tabela13[[#This Row],[Destino]],Tabela1[],2,FALSE)</f>
        <v>31</v>
      </c>
      <c r="E521" s="51" t="s">
        <v>408</v>
      </c>
      <c r="F521" s="52" t="s">
        <v>921</v>
      </c>
      <c r="H521" s="42" t="str">
        <f t="shared" si="16"/>
        <v>Duas Pontes_Praça Pasteur</v>
      </c>
      <c r="I521" s="42">
        <f t="shared" si="17"/>
        <v>-1</v>
      </c>
      <c r="J521" s="53">
        <f>COUNTIFS(H$2:H521, H521)-1</f>
        <v>6</v>
      </c>
      <c r="K521" s="42" cm="1">
        <f t="array" ref="K521">IF(I521=1,
    J521,
    MAX(IF(H:H=H521, J:J)) - J521
)</f>
        <v>5</v>
      </c>
    </row>
    <row r="522" spans="1:11" x14ac:dyDescent="0.2">
      <c r="A522" s="43" t="s">
        <v>68</v>
      </c>
      <c r="B522" s="44" t="s">
        <v>31</v>
      </c>
      <c r="C522" s="42">
        <f>VLOOKUP(Tabela13[[#This Row],[Origem]],Tabela1[],2,FALSE)</f>
        <v>68</v>
      </c>
      <c r="D522" s="42">
        <f>VLOOKUP(Tabela13[[#This Row],[Destino]],Tabela1[],2,FALSE)</f>
        <v>31</v>
      </c>
      <c r="E522" s="51" t="s">
        <v>409</v>
      </c>
      <c r="F522" s="52" t="s">
        <v>922</v>
      </c>
      <c r="H522" s="42" t="str">
        <f t="shared" si="16"/>
        <v>Duas Pontes_Praça Pasteur</v>
      </c>
      <c r="I522" s="42">
        <f t="shared" si="17"/>
        <v>-1</v>
      </c>
      <c r="J522" s="53">
        <f>COUNTIFS(H$2:H522, H522)-1</f>
        <v>7</v>
      </c>
      <c r="K522" s="42" cm="1">
        <f t="array" ref="K522">IF(I522=1,
    J522,
    MAX(IF(H:H=H522, J:J)) - J522
)</f>
        <v>4</v>
      </c>
    </row>
    <row r="523" spans="1:11" x14ac:dyDescent="0.2">
      <c r="A523" s="43" t="s">
        <v>68</v>
      </c>
      <c r="B523" s="44" t="s">
        <v>31</v>
      </c>
      <c r="C523" s="42">
        <f>VLOOKUP(Tabela13[[#This Row],[Origem]],Tabela1[],2,FALSE)</f>
        <v>68</v>
      </c>
      <c r="D523" s="42">
        <f>VLOOKUP(Tabela13[[#This Row],[Destino]],Tabela1[],2,FALSE)</f>
        <v>31</v>
      </c>
      <c r="E523" s="51" t="s">
        <v>410</v>
      </c>
      <c r="F523" s="52" t="s">
        <v>923</v>
      </c>
      <c r="H523" s="42" t="str">
        <f t="shared" si="16"/>
        <v>Duas Pontes_Praça Pasteur</v>
      </c>
      <c r="I523" s="42">
        <f t="shared" si="17"/>
        <v>-1</v>
      </c>
      <c r="J523" s="53">
        <f>COUNTIFS(H$2:H523, H523)-1</f>
        <v>8</v>
      </c>
      <c r="K523" s="42" cm="1">
        <f t="array" ref="K523">IF(I523=1,
    J523,
    MAX(IF(H:H=H523, J:J)) - J523
)</f>
        <v>3</v>
      </c>
    </row>
    <row r="524" spans="1:11" x14ac:dyDescent="0.2">
      <c r="A524" s="43" t="s">
        <v>68</v>
      </c>
      <c r="B524" s="44" t="s">
        <v>31</v>
      </c>
      <c r="C524" s="42">
        <f>VLOOKUP(Tabela13[[#This Row],[Origem]],Tabela1[],2,FALSE)</f>
        <v>68</v>
      </c>
      <c r="D524" s="42">
        <f>VLOOKUP(Tabela13[[#This Row],[Destino]],Tabela1[],2,FALSE)</f>
        <v>31</v>
      </c>
      <c r="E524" s="51" t="s">
        <v>411</v>
      </c>
      <c r="F524" s="52" t="s">
        <v>924</v>
      </c>
      <c r="H524" s="42" t="str">
        <f t="shared" si="16"/>
        <v>Duas Pontes_Praça Pasteur</v>
      </c>
      <c r="I524" s="42">
        <f t="shared" si="17"/>
        <v>-1</v>
      </c>
      <c r="J524" s="53">
        <f>COUNTIFS(H$2:H524, H524)-1</f>
        <v>9</v>
      </c>
      <c r="K524" s="42" cm="1">
        <f t="array" ref="K524">IF(I524=1,
    J524,
    MAX(IF(H:H=H524, J:J)) - J524
)</f>
        <v>2</v>
      </c>
    </row>
    <row r="525" spans="1:11" x14ac:dyDescent="0.2">
      <c r="A525" s="43" t="s">
        <v>68</v>
      </c>
      <c r="B525" s="44" t="s">
        <v>31</v>
      </c>
      <c r="C525" s="42">
        <f>VLOOKUP(Tabela13[[#This Row],[Origem]],Tabela1[],2,FALSE)</f>
        <v>68</v>
      </c>
      <c r="D525" s="42">
        <f>VLOOKUP(Tabela13[[#This Row],[Destino]],Tabela1[],2,FALSE)</f>
        <v>31</v>
      </c>
      <c r="E525" s="51" t="s">
        <v>412</v>
      </c>
      <c r="F525" s="52" t="s">
        <v>913</v>
      </c>
      <c r="H525" s="42" t="str">
        <f t="shared" si="16"/>
        <v>Duas Pontes_Praça Pasteur</v>
      </c>
      <c r="I525" s="42">
        <f t="shared" si="17"/>
        <v>-1</v>
      </c>
      <c r="J525" s="53">
        <f>COUNTIFS(H$2:H525, H525)-1</f>
        <v>10</v>
      </c>
      <c r="K525" s="42" cm="1">
        <f t="array" ref="K525">IF(I525=1,
    J525,
    MAX(IF(H:H=H525, J:J)) - J525
)</f>
        <v>1</v>
      </c>
    </row>
    <row r="526" spans="1:11" x14ac:dyDescent="0.2">
      <c r="A526" s="43" t="s">
        <v>68</v>
      </c>
      <c r="B526" s="44" t="s">
        <v>31</v>
      </c>
      <c r="C526" s="42">
        <f>VLOOKUP(Tabela13[[#This Row],[Origem]],Tabela1[],2,FALSE)</f>
        <v>68</v>
      </c>
      <c r="D526" s="42">
        <f>VLOOKUP(Tabela13[[#This Row],[Destino]],Tabela1[],2,FALSE)</f>
        <v>31</v>
      </c>
      <c r="E526" s="51" t="s">
        <v>413</v>
      </c>
      <c r="F526" s="52" t="s">
        <v>925</v>
      </c>
      <c r="H526" s="42" t="str">
        <f t="shared" si="16"/>
        <v>Duas Pontes_Praça Pasteur</v>
      </c>
      <c r="I526" s="42">
        <f t="shared" si="17"/>
        <v>-1</v>
      </c>
      <c r="J526" s="53">
        <f>COUNTIFS(H$2:H526, H526)-1</f>
        <v>11</v>
      </c>
      <c r="K526" s="42" cm="1">
        <f t="array" ref="K526">IF(I526=1,
    J526,
    MAX(IF(H:H=H526, J:J)) - J526
)</f>
        <v>0</v>
      </c>
    </row>
    <row r="527" spans="1:11" x14ac:dyDescent="0.2">
      <c r="A527" s="43" t="s">
        <v>68</v>
      </c>
      <c r="B527" s="44" t="s">
        <v>40</v>
      </c>
      <c r="C527" s="42">
        <f>VLOOKUP(Tabela13[[#This Row],[Origem]],Tabela1[],2,FALSE)</f>
        <v>68</v>
      </c>
      <c r="D527" s="42">
        <f>VLOOKUP(Tabela13[[#This Row],[Destino]],Tabela1[],2,FALSE)</f>
        <v>40</v>
      </c>
      <c r="E527" s="51" t="s">
        <v>442</v>
      </c>
      <c r="F527" s="52" t="s">
        <v>955</v>
      </c>
      <c r="H527" s="42" t="str">
        <f t="shared" si="16"/>
        <v>Igreja Santo Antônio_Praça Pasteur</v>
      </c>
      <c r="I527" s="42">
        <f t="shared" si="17"/>
        <v>-1</v>
      </c>
      <c r="J527" s="53">
        <f>COUNTIFS(H$2:H527, H527)-1</f>
        <v>5</v>
      </c>
      <c r="K527" s="42" cm="1">
        <f t="array" ref="K527">IF(I527=1,
    J527,
    MAX(IF(H:H=H527, J:J)) - J527
)</f>
        <v>4</v>
      </c>
    </row>
    <row r="528" spans="1:11" x14ac:dyDescent="0.2">
      <c r="A528" s="43" t="s">
        <v>68</v>
      </c>
      <c r="B528" s="44" t="s">
        <v>40</v>
      </c>
      <c r="C528" s="42">
        <f>VLOOKUP(Tabela13[[#This Row],[Origem]],Tabela1[],2,FALSE)</f>
        <v>68</v>
      </c>
      <c r="D528" s="42">
        <f>VLOOKUP(Tabela13[[#This Row],[Destino]],Tabela1[],2,FALSE)</f>
        <v>40</v>
      </c>
      <c r="E528" s="51" t="s">
        <v>443</v>
      </c>
      <c r="F528" s="52" t="s">
        <v>956</v>
      </c>
      <c r="H528" s="42" t="str">
        <f t="shared" si="16"/>
        <v>Igreja Santo Antônio_Praça Pasteur</v>
      </c>
      <c r="I528" s="42">
        <f t="shared" si="17"/>
        <v>-1</v>
      </c>
      <c r="J528" s="53">
        <f>COUNTIFS(H$2:H528, H528)-1</f>
        <v>6</v>
      </c>
      <c r="K528" s="42" cm="1">
        <f t="array" ref="K528">IF(I528=1,
    J528,
    MAX(IF(H:H=H528, J:J)) - J528
)</f>
        <v>3</v>
      </c>
    </row>
    <row r="529" spans="1:11" x14ac:dyDescent="0.2">
      <c r="A529" s="43" t="s">
        <v>68</v>
      </c>
      <c r="B529" s="44" t="s">
        <v>40</v>
      </c>
      <c r="C529" s="42">
        <f>VLOOKUP(Tabela13[[#This Row],[Origem]],Tabela1[],2,FALSE)</f>
        <v>68</v>
      </c>
      <c r="D529" s="42">
        <f>VLOOKUP(Tabela13[[#This Row],[Destino]],Tabela1[],2,FALSE)</f>
        <v>40</v>
      </c>
      <c r="E529" s="51" t="s">
        <v>444</v>
      </c>
      <c r="F529" s="52" t="s">
        <v>957</v>
      </c>
      <c r="H529" s="42" t="str">
        <f t="shared" si="16"/>
        <v>Igreja Santo Antônio_Praça Pasteur</v>
      </c>
      <c r="I529" s="42">
        <f t="shared" si="17"/>
        <v>-1</v>
      </c>
      <c r="J529" s="53">
        <f>COUNTIFS(H$2:H529, H529)-1</f>
        <v>7</v>
      </c>
      <c r="K529" s="42" cm="1">
        <f t="array" ref="K529">IF(I529=1,
    J529,
    MAX(IF(H:H=H529, J:J)) - J529
)</f>
        <v>2</v>
      </c>
    </row>
    <row r="530" spans="1:11" x14ac:dyDescent="0.2">
      <c r="A530" s="43" t="s">
        <v>68</v>
      </c>
      <c r="B530" s="44" t="s">
        <v>40</v>
      </c>
      <c r="C530" s="42">
        <f>VLOOKUP(Tabela13[[#This Row],[Origem]],Tabela1[],2,FALSE)</f>
        <v>68</v>
      </c>
      <c r="D530" s="42">
        <f>VLOOKUP(Tabela13[[#This Row],[Destino]],Tabela1[],2,FALSE)</f>
        <v>40</v>
      </c>
      <c r="E530" s="51" t="s">
        <v>444</v>
      </c>
      <c r="F530" s="52" t="s">
        <v>957</v>
      </c>
      <c r="H530" s="42" t="str">
        <f t="shared" si="16"/>
        <v>Igreja Santo Antônio_Praça Pasteur</v>
      </c>
      <c r="I530" s="42">
        <f t="shared" si="17"/>
        <v>-1</v>
      </c>
      <c r="J530" s="53">
        <f>COUNTIFS(H$2:H530, H530)-1</f>
        <v>8</v>
      </c>
      <c r="K530" s="42" cm="1">
        <f t="array" ref="K530">IF(I530=1,
    J530,
    MAX(IF(H:H=H530, J:J)) - J530
)</f>
        <v>1</v>
      </c>
    </row>
    <row r="531" spans="1:11" x14ac:dyDescent="0.2">
      <c r="A531" s="43" t="s">
        <v>68</v>
      </c>
      <c r="B531" s="44" t="s">
        <v>40</v>
      </c>
      <c r="C531" s="42">
        <f>VLOOKUP(Tabela13[[#This Row],[Origem]],Tabela1[],2,FALSE)</f>
        <v>68</v>
      </c>
      <c r="D531" s="42">
        <f>VLOOKUP(Tabela13[[#This Row],[Destino]],Tabela1[],2,FALSE)</f>
        <v>40</v>
      </c>
      <c r="E531" s="51" t="s">
        <v>445</v>
      </c>
      <c r="F531" s="52" t="s">
        <v>958</v>
      </c>
      <c r="H531" s="42" t="str">
        <f t="shared" si="16"/>
        <v>Igreja Santo Antônio_Praça Pasteur</v>
      </c>
      <c r="I531" s="42">
        <f t="shared" si="17"/>
        <v>-1</v>
      </c>
      <c r="J531" s="53">
        <f>COUNTIFS(H$2:H531, H531)-1</f>
        <v>9</v>
      </c>
      <c r="K531" s="42" cm="1">
        <f t="array" ref="K531">IF(I531=1,
    J531,
    MAX(IF(H:H=H531, J:J)) - J531
)</f>
        <v>0</v>
      </c>
    </row>
    <row r="532" spans="1:11" x14ac:dyDescent="0.2">
      <c r="A532" s="43" t="s">
        <v>68</v>
      </c>
      <c r="B532" s="44" t="s">
        <v>78</v>
      </c>
      <c r="C532" s="42">
        <f>VLOOKUP(Tabela13[[#This Row],[Origem]],Tabela1[],2,FALSE)</f>
        <v>68</v>
      </c>
      <c r="D532" s="42">
        <f>VLOOKUP(Tabela13[[#This Row],[Destino]],Tabela1[],2,FALSE)</f>
        <v>78</v>
      </c>
      <c r="E532" s="51" t="s">
        <v>559</v>
      </c>
      <c r="F532" s="52" t="s">
        <v>1072</v>
      </c>
      <c r="H532" s="42" t="str">
        <f t="shared" si="16"/>
        <v>Praça Pasteur_Rua 24 de Maio</v>
      </c>
      <c r="I532" s="42">
        <f t="shared" si="17"/>
        <v>1</v>
      </c>
      <c r="J532" s="53">
        <f>COUNTIFS(H$2:H532, H532)-1</f>
        <v>0</v>
      </c>
      <c r="K532" s="42" cm="1">
        <f t="array" ref="K532">IF(I532=1,
    J532,
    MAX(IF(H:H=H532, J:J)) - J532
)</f>
        <v>0</v>
      </c>
    </row>
    <row r="533" spans="1:11" x14ac:dyDescent="0.2">
      <c r="A533" s="43" t="s">
        <v>68</v>
      </c>
      <c r="B533" s="44" t="s">
        <v>78</v>
      </c>
      <c r="C533" s="42">
        <f>VLOOKUP(Tabela13[[#This Row],[Origem]],Tabela1[],2,FALSE)</f>
        <v>68</v>
      </c>
      <c r="D533" s="42">
        <f>VLOOKUP(Tabela13[[#This Row],[Destino]],Tabela1[],2,FALSE)</f>
        <v>78</v>
      </c>
      <c r="E533" s="51" t="s">
        <v>560</v>
      </c>
      <c r="F533" s="52" t="s">
        <v>1073</v>
      </c>
      <c r="H533" s="42" t="str">
        <f t="shared" si="16"/>
        <v>Praça Pasteur_Rua 24 de Maio</v>
      </c>
      <c r="I533" s="42">
        <f t="shared" si="17"/>
        <v>1</v>
      </c>
      <c r="J533" s="53">
        <f>COUNTIFS(H$2:H533, H533)-1</f>
        <v>1</v>
      </c>
      <c r="K533" s="42" cm="1">
        <f t="array" ref="K533">IF(I533=1,
    J533,
    MAX(IF(H:H=H533, J:J)) - J533
)</f>
        <v>1</v>
      </c>
    </row>
    <row r="534" spans="1:11" x14ac:dyDescent="0.2">
      <c r="A534" s="43" t="s">
        <v>68</v>
      </c>
      <c r="B534" s="44" t="s">
        <v>78</v>
      </c>
      <c r="C534" s="42">
        <f>VLOOKUP(Tabela13[[#This Row],[Origem]],Tabela1[],2,FALSE)</f>
        <v>68</v>
      </c>
      <c r="D534" s="42">
        <f>VLOOKUP(Tabela13[[#This Row],[Destino]],Tabela1[],2,FALSE)</f>
        <v>78</v>
      </c>
      <c r="E534" s="51" t="s">
        <v>561</v>
      </c>
      <c r="F534" s="52" t="s">
        <v>1074</v>
      </c>
      <c r="H534" s="42" t="str">
        <f t="shared" si="16"/>
        <v>Praça Pasteur_Rua 24 de Maio</v>
      </c>
      <c r="I534" s="42">
        <f t="shared" si="17"/>
        <v>1</v>
      </c>
      <c r="J534" s="53">
        <f>COUNTIFS(H$2:H534, H534)-1</f>
        <v>2</v>
      </c>
      <c r="K534" s="42" cm="1">
        <f t="array" ref="K534">IF(I534=1,
    J534,
    MAX(IF(H:H=H534, J:J)) - J534
)</f>
        <v>2</v>
      </c>
    </row>
    <row r="535" spans="1:11" x14ac:dyDescent="0.2">
      <c r="A535" s="43" t="s">
        <v>68</v>
      </c>
      <c r="B535" s="44" t="s">
        <v>78</v>
      </c>
      <c r="C535" s="42">
        <f>VLOOKUP(Tabela13[[#This Row],[Origem]],Tabela1[],2,FALSE)</f>
        <v>68</v>
      </c>
      <c r="D535" s="42">
        <f>VLOOKUP(Tabela13[[#This Row],[Destino]],Tabela1[],2,FALSE)</f>
        <v>78</v>
      </c>
      <c r="E535" s="51" t="s">
        <v>562</v>
      </c>
      <c r="F535" s="52" t="s">
        <v>1075</v>
      </c>
      <c r="H535" s="42" t="str">
        <f t="shared" si="16"/>
        <v>Praça Pasteur_Rua 24 de Maio</v>
      </c>
      <c r="I535" s="42">
        <f t="shared" si="17"/>
        <v>1</v>
      </c>
      <c r="J535" s="53">
        <f>COUNTIFS(H$2:H535, H535)-1</f>
        <v>3</v>
      </c>
      <c r="K535" s="42" cm="1">
        <f t="array" ref="K535">IF(I535=1,
    J535,
    MAX(IF(H:H=H535, J:J)) - J535
)</f>
        <v>3</v>
      </c>
    </row>
    <row r="536" spans="1:11" x14ac:dyDescent="0.2">
      <c r="A536" s="43" t="s">
        <v>68</v>
      </c>
      <c r="B536" s="44" t="s">
        <v>78</v>
      </c>
      <c r="C536" s="42">
        <f>VLOOKUP(Tabela13[[#This Row],[Origem]],Tabela1[],2,FALSE)</f>
        <v>68</v>
      </c>
      <c r="D536" s="42">
        <f>VLOOKUP(Tabela13[[#This Row],[Destino]],Tabela1[],2,FALSE)</f>
        <v>78</v>
      </c>
      <c r="E536" s="51" t="s">
        <v>563</v>
      </c>
      <c r="F536" s="52" t="s">
        <v>1076</v>
      </c>
      <c r="H536" s="42" t="str">
        <f t="shared" si="16"/>
        <v>Praça Pasteur_Rua 24 de Maio</v>
      </c>
      <c r="I536" s="42">
        <f t="shared" si="17"/>
        <v>1</v>
      </c>
      <c r="J536" s="53">
        <f>COUNTIFS(H$2:H536, H536)-1</f>
        <v>4</v>
      </c>
      <c r="K536" s="42" cm="1">
        <f t="array" ref="K536">IF(I536=1,
    J536,
    MAX(IF(H:H=H536, J:J)) - J536
)</f>
        <v>4</v>
      </c>
    </row>
    <row r="537" spans="1:11" x14ac:dyDescent="0.2">
      <c r="A537" s="43" t="s">
        <v>68</v>
      </c>
      <c r="B537" s="44" t="s">
        <v>78</v>
      </c>
      <c r="C537" s="42">
        <f>VLOOKUP(Tabela13[[#This Row],[Origem]],Tabela1[],2,FALSE)</f>
        <v>68</v>
      </c>
      <c r="D537" s="42">
        <f>VLOOKUP(Tabela13[[#This Row],[Destino]],Tabela1[],2,FALSE)</f>
        <v>78</v>
      </c>
      <c r="E537" s="51" t="s">
        <v>564</v>
      </c>
      <c r="F537" s="52" t="s">
        <v>1077</v>
      </c>
      <c r="H537" s="42" t="str">
        <f t="shared" si="16"/>
        <v>Praça Pasteur_Rua 24 de Maio</v>
      </c>
      <c r="I537" s="42">
        <f t="shared" si="17"/>
        <v>1</v>
      </c>
      <c r="J537" s="53">
        <f>COUNTIFS(H$2:H537, H537)-1</f>
        <v>5</v>
      </c>
      <c r="K537" s="42" cm="1">
        <f t="array" ref="K537">IF(I537=1,
    J537,
    MAX(IF(H:H=H537, J:J)) - J537
)</f>
        <v>5</v>
      </c>
    </row>
    <row r="538" spans="1:11" x14ac:dyDescent="0.2">
      <c r="A538" s="43" t="s">
        <v>68</v>
      </c>
      <c r="B538" s="44" t="s">
        <v>78</v>
      </c>
      <c r="C538" s="42">
        <f>VLOOKUP(Tabela13[[#This Row],[Origem]],Tabela1[],2,FALSE)</f>
        <v>68</v>
      </c>
      <c r="D538" s="42">
        <f>VLOOKUP(Tabela13[[#This Row],[Destino]],Tabela1[],2,FALSE)</f>
        <v>78</v>
      </c>
      <c r="E538" s="51" t="s">
        <v>565</v>
      </c>
      <c r="F538" s="52" t="s">
        <v>1078</v>
      </c>
      <c r="H538" s="42" t="str">
        <f t="shared" si="16"/>
        <v>Praça Pasteur_Rua 24 de Maio</v>
      </c>
      <c r="I538" s="42">
        <f t="shared" si="17"/>
        <v>1</v>
      </c>
      <c r="J538" s="53">
        <f>COUNTIFS(H$2:H538, H538)-1</f>
        <v>6</v>
      </c>
      <c r="K538" s="42" cm="1">
        <f t="array" ref="K538">IF(I538=1,
    J538,
    MAX(IF(H:H=H538, J:J)) - J538
)</f>
        <v>6</v>
      </c>
    </row>
    <row r="539" spans="1:11" x14ac:dyDescent="0.2">
      <c r="A539" s="43" t="s">
        <v>68</v>
      </c>
      <c r="B539" s="44" t="s">
        <v>78</v>
      </c>
      <c r="C539" s="42">
        <f>VLOOKUP(Tabela13[[#This Row],[Origem]],Tabela1[],2,FALSE)</f>
        <v>68</v>
      </c>
      <c r="D539" s="42">
        <f>VLOOKUP(Tabela13[[#This Row],[Destino]],Tabela1[],2,FALSE)</f>
        <v>78</v>
      </c>
      <c r="E539" s="51" t="s">
        <v>566</v>
      </c>
      <c r="F539" s="52" t="s">
        <v>1079</v>
      </c>
      <c r="H539" s="42" t="str">
        <f t="shared" si="16"/>
        <v>Praça Pasteur_Rua 24 de Maio</v>
      </c>
      <c r="I539" s="42">
        <f t="shared" si="17"/>
        <v>1</v>
      </c>
      <c r="J539" s="53">
        <f>COUNTIFS(H$2:H539, H539)-1</f>
        <v>7</v>
      </c>
      <c r="K539" s="42" cm="1">
        <f t="array" ref="K539">IF(I539=1,
    J539,
    MAX(IF(H:H=H539, J:J)) - J539
)</f>
        <v>7</v>
      </c>
    </row>
    <row r="540" spans="1:11" x14ac:dyDescent="0.2">
      <c r="A540" s="43" t="s">
        <v>68</v>
      </c>
      <c r="B540" s="44" t="s">
        <v>78</v>
      </c>
      <c r="C540" s="42">
        <f>VLOOKUP(Tabela13[[#This Row],[Origem]],Tabela1[],2,FALSE)</f>
        <v>68</v>
      </c>
      <c r="D540" s="42">
        <f>VLOOKUP(Tabela13[[#This Row],[Destino]],Tabela1[],2,FALSE)</f>
        <v>78</v>
      </c>
      <c r="E540" s="51" t="s">
        <v>567</v>
      </c>
      <c r="F540" s="52" t="s">
        <v>1080</v>
      </c>
      <c r="H540" s="42" t="str">
        <f t="shared" si="16"/>
        <v>Praça Pasteur_Rua 24 de Maio</v>
      </c>
      <c r="I540" s="42">
        <f t="shared" si="17"/>
        <v>1</v>
      </c>
      <c r="J540" s="53">
        <f>COUNTIFS(H$2:H540, H540)-1</f>
        <v>8</v>
      </c>
      <c r="K540" s="42" cm="1">
        <f t="array" ref="K540">IF(I540=1,
    J540,
    MAX(IF(H:H=H540, J:J)) - J540
)</f>
        <v>8</v>
      </c>
    </row>
    <row r="541" spans="1:11" x14ac:dyDescent="0.2">
      <c r="A541" s="43" t="s">
        <v>68</v>
      </c>
      <c r="B541" s="44" t="s">
        <v>78</v>
      </c>
      <c r="C541" s="42">
        <f>VLOOKUP(Tabela13[[#This Row],[Origem]],Tabela1[],2,FALSE)</f>
        <v>68</v>
      </c>
      <c r="D541" s="42">
        <f>VLOOKUP(Tabela13[[#This Row],[Destino]],Tabela1[],2,FALSE)</f>
        <v>78</v>
      </c>
      <c r="E541" s="51" t="s">
        <v>568</v>
      </c>
      <c r="F541" s="52" t="s">
        <v>1081</v>
      </c>
      <c r="H541" s="42" t="str">
        <f t="shared" si="16"/>
        <v>Praça Pasteur_Rua 24 de Maio</v>
      </c>
      <c r="I541" s="42">
        <f t="shared" si="17"/>
        <v>1</v>
      </c>
      <c r="J541" s="53">
        <f>COUNTIFS(H$2:H541, H541)-1</f>
        <v>9</v>
      </c>
      <c r="K541" s="42" cm="1">
        <f t="array" ref="K541">IF(I541=1,
    J541,
    MAX(IF(H:H=H541, J:J)) - J541
)</f>
        <v>9</v>
      </c>
    </row>
    <row r="542" spans="1:11" x14ac:dyDescent="0.2">
      <c r="A542" s="43" t="s">
        <v>68</v>
      </c>
      <c r="B542" s="44" t="s">
        <v>78</v>
      </c>
      <c r="C542" s="42">
        <f>VLOOKUP(Tabela13[[#This Row],[Origem]],Tabela1[],2,FALSE)</f>
        <v>68</v>
      </c>
      <c r="D542" s="42">
        <f>VLOOKUP(Tabela13[[#This Row],[Destino]],Tabela1[],2,FALSE)</f>
        <v>78</v>
      </c>
      <c r="E542" s="51" t="s">
        <v>569</v>
      </c>
      <c r="F542" s="52" t="s">
        <v>1082</v>
      </c>
      <c r="H542" s="42" t="str">
        <f t="shared" si="16"/>
        <v>Praça Pasteur_Rua 24 de Maio</v>
      </c>
      <c r="I542" s="42">
        <f t="shared" si="17"/>
        <v>1</v>
      </c>
      <c r="J542" s="53">
        <f>COUNTIFS(H$2:H542, H542)-1</f>
        <v>10</v>
      </c>
      <c r="K542" s="42" cm="1">
        <f t="array" ref="K542">IF(I542=1,
    J542,
    MAX(IF(H:H=H542, J:J)) - J542
)</f>
        <v>10</v>
      </c>
    </row>
    <row r="543" spans="1:11" x14ac:dyDescent="0.2">
      <c r="A543" s="43" t="s">
        <v>68</v>
      </c>
      <c r="B543" s="44" t="s">
        <v>78</v>
      </c>
      <c r="C543" s="42">
        <f>VLOOKUP(Tabela13[[#This Row],[Origem]],Tabela1[],2,FALSE)</f>
        <v>68</v>
      </c>
      <c r="D543" s="42">
        <f>VLOOKUP(Tabela13[[#This Row],[Destino]],Tabela1[],2,FALSE)</f>
        <v>78</v>
      </c>
      <c r="E543" s="51" t="s">
        <v>570</v>
      </c>
      <c r="F543" s="52" t="s">
        <v>1083</v>
      </c>
      <c r="H543" s="42" t="str">
        <f t="shared" si="16"/>
        <v>Praça Pasteur_Rua 24 de Maio</v>
      </c>
      <c r="I543" s="42">
        <f t="shared" si="17"/>
        <v>1</v>
      </c>
      <c r="J543" s="53">
        <f>COUNTIFS(H$2:H543, H543)-1</f>
        <v>11</v>
      </c>
      <c r="K543" s="42" cm="1">
        <f t="array" ref="K543">IF(I543=1,
    J543,
    MAX(IF(H:H=H543, J:J)) - J543
)</f>
        <v>11</v>
      </c>
    </row>
    <row r="544" spans="1:11" x14ac:dyDescent="0.2">
      <c r="A544" s="43" t="s">
        <v>68</v>
      </c>
      <c r="B544" s="44" t="s">
        <v>78</v>
      </c>
      <c r="C544" s="42">
        <f>VLOOKUP(Tabela13[[#This Row],[Origem]],Tabela1[],2,FALSE)</f>
        <v>68</v>
      </c>
      <c r="D544" s="42">
        <f>VLOOKUP(Tabela13[[#This Row],[Destino]],Tabela1[],2,FALSE)</f>
        <v>78</v>
      </c>
      <c r="E544" s="51" t="s">
        <v>571</v>
      </c>
      <c r="F544" s="52" t="s">
        <v>1084</v>
      </c>
      <c r="H544" s="42" t="str">
        <f t="shared" si="16"/>
        <v>Praça Pasteur_Rua 24 de Maio</v>
      </c>
      <c r="I544" s="42">
        <f t="shared" si="17"/>
        <v>1</v>
      </c>
      <c r="J544" s="53">
        <f>COUNTIFS(H$2:H544, H544)-1</f>
        <v>12</v>
      </c>
      <c r="K544" s="42" cm="1">
        <f t="array" ref="K544">IF(I544=1,
    J544,
    MAX(IF(H:H=H544, J:J)) - J544
)</f>
        <v>12</v>
      </c>
    </row>
    <row r="545" spans="1:11" x14ac:dyDescent="0.2">
      <c r="A545" s="43" t="s">
        <v>68</v>
      </c>
      <c r="B545" s="44" t="s">
        <v>78</v>
      </c>
      <c r="C545" s="42">
        <f>VLOOKUP(Tabela13[[#This Row],[Origem]],Tabela1[],2,FALSE)</f>
        <v>68</v>
      </c>
      <c r="D545" s="42">
        <f>VLOOKUP(Tabela13[[#This Row],[Destino]],Tabela1[],2,FALSE)</f>
        <v>78</v>
      </c>
      <c r="E545" s="51" t="s">
        <v>572</v>
      </c>
      <c r="F545" s="52" t="s">
        <v>1085</v>
      </c>
      <c r="H545" s="42" t="str">
        <f t="shared" si="16"/>
        <v>Praça Pasteur_Rua 24 de Maio</v>
      </c>
      <c r="I545" s="42">
        <f t="shared" si="17"/>
        <v>1</v>
      </c>
      <c r="J545" s="53">
        <f>COUNTIFS(H$2:H545, H545)-1</f>
        <v>13</v>
      </c>
      <c r="K545" s="42" cm="1">
        <f t="array" ref="K545">IF(I545=1,
    J545,
    MAX(IF(H:H=H545, J:J)) - J545
)</f>
        <v>13</v>
      </c>
    </row>
    <row r="546" spans="1:11" x14ac:dyDescent="0.2">
      <c r="A546" s="43" t="s">
        <v>68</v>
      </c>
      <c r="B546" s="44" t="s">
        <v>78</v>
      </c>
      <c r="C546" s="42">
        <f>VLOOKUP(Tabela13[[#This Row],[Origem]],Tabela1[],2,FALSE)</f>
        <v>68</v>
      </c>
      <c r="D546" s="42">
        <f>VLOOKUP(Tabela13[[#This Row],[Destino]],Tabela1[],2,FALSE)</f>
        <v>78</v>
      </c>
      <c r="E546" s="51" t="s">
        <v>573</v>
      </c>
      <c r="F546" s="52" t="s">
        <v>1086</v>
      </c>
      <c r="H546" s="42" t="str">
        <f t="shared" si="16"/>
        <v>Praça Pasteur_Rua 24 de Maio</v>
      </c>
      <c r="I546" s="42">
        <f t="shared" si="17"/>
        <v>1</v>
      </c>
      <c r="J546" s="53">
        <f>COUNTIFS(H$2:H546, H546)-1</f>
        <v>14</v>
      </c>
      <c r="K546" s="42" cm="1">
        <f t="array" ref="K546">IF(I546=1,
    J546,
    MAX(IF(H:H=H546, J:J)) - J546
)</f>
        <v>14</v>
      </c>
    </row>
    <row r="547" spans="1:11" x14ac:dyDescent="0.2">
      <c r="A547" s="43" t="s">
        <v>68</v>
      </c>
      <c r="B547" s="44" t="s">
        <v>78</v>
      </c>
      <c r="C547" s="42">
        <f>VLOOKUP(Tabela13[[#This Row],[Origem]],Tabela1[],2,FALSE)</f>
        <v>68</v>
      </c>
      <c r="D547" s="42">
        <f>VLOOKUP(Tabela13[[#This Row],[Destino]],Tabela1[],2,FALSE)</f>
        <v>78</v>
      </c>
      <c r="E547" s="51" t="s">
        <v>574</v>
      </c>
      <c r="F547" s="52" t="s">
        <v>1087</v>
      </c>
      <c r="H547" s="42" t="str">
        <f t="shared" si="16"/>
        <v>Praça Pasteur_Rua 24 de Maio</v>
      </c>
      <c r="I547" s="42">
        <f t="shared" si="17"/>
        <v>1</v>
      </c>
      <c r="J547" s="53">
        <f>COUNTIFS(H$2:H547, H547)-1</f>
        <v>15</v>
      </c>
      <c r="K547" s="42" cm="1">
        <f t="array" ref="K547">IF(I547=1,
    J547,
    MAX(IF(H:H=H547, J:J)) - J547
)</f>
        <v>15</v>
      </c>
    </row>
    <row r="548" spans="1:11" x14ac:dyDescent="0.2">
      <c r="A548" s="43" t="s">
        <v>69</v>
      </c>
      <c r="B548" s="44" t="s">
        <v>81</v>
      </c>
      <c r="C548" s="42">
        <f>VLOOKUP(Tabela13[[#This Row],[Origem]],Tabela1[],2,FALSE)</f>
        <v>69</v>
      </c>
      <c r="D548" s="42">
        <f>VLOOKUP(Tabela13[[#This Row],[Destino]],Tabela1[],2,FALSE)</f>
        <v>81</v>
      </c>
      <c r="E548" s="51" t="s">
        <v>575</v>
      </c>
      <c r="F548" s="52" t="s">
        <v>1088</v>
      </c>
      <c r="H548" s="42" t="str">
        <f t="shared" si="16"/>
        <v>Pronto Socorro do Alto da Serra_Rua Chile</v>
      </c>
      <c r="I548" s="42">
        <f t="shared" si="17"/>
        <v>1</v>
      </c>
      <c r="J548" s="53">
        <f>COUNTIFS(H$2:H548, H548)-1</f>
        <v>0</v>
      </c>
      <c r="K548" s="42" cm="1">
        <f t="array" ref="K548">IF(I548=1,
    J548,
    MAX(IF(H:H=H548, J:J)) - J548
)</f>
        <v>0</v>
      </c>
    </row>
    <row r="549" spans="1:11" x14ac:dyDescent="0.2">
      <c r="A549" s="43" t="s">
        <v>70</v>
      </c>
      <c r="B549" s="44" t="s">
        <v>28</v>
      </c>
      <c r="C549" s="42">
        <f>VLOOKUP(Tabela13[[#This Row],[Origem]],Tabela1[],2,FALSE)</f>
        <v>70</v>
      </c>
      <c r="D549" s="42">
        <f>VLOOKUP(Tabela13[[#This Row],[Destino]],Tabela1[],2,FALSE)</f>
        <v>28</v>
      </c>
      <c r="E549" s="51" t="s">
        <v>576</v>
      </c>
      <c r="F549" s="52" t="s">
        <v>1089</v>
      </c>
      <c r="H549" s="42" t="str">
        <f t="shared" si="16"/>
        <v>Colégio Terra Santa_Relógio das Flores</v>
      </c>
      <c r="I549" s="42">
        <f t="shared" si="17"/>
        <v>-1</v>
      </c>
      <c r="J549" s="53">
        <f>COUNTIFS(H$2:H549, H549)-1</f>
        <v>0</v>
      </c>
      <c r="K549" s="42" cm="1">
        <f t="array" ref="K549">IF(I549=1,
    J549,
    MAX(IF(H:H=H549, J:J)) - J549
)</f>
        <v>0</v>
      </c>
    </row>
    <row r="550" spans="1:11" x14ac:dyDescent="0.2">
      <c r="A550" s="43" t="s">
        <v>71</v>
      </c>
      <c r="B550" s="44" t="s">
        <v>101</v>
      </c>
      <c r="C550" s="42">
        <f>VLOOKUP(Tabela13[[#This Row],[Origem]],Tabela1[],2,FALSE)</f>
        <v>71</v>
      </c>
      <c r="D550" s="42">
        <f>VLOOKUP(Tabela13[[#This Row],[Destino]],Tabela1[],2,FALSE)</f>
        <v>101</v>
      </c>
      <c r="E550" s="51" t="s">
        <v>577</v>
      </c>
      <c r="F550" s="52" t="s">
        <v>1090</v>
      </c>
      <c r="H550" s="42" t="str">
        <f t="shared" si="16"/>
        <v>Restaurante D'Angelo_Tribuna de Petrópolis</v>
      </c>
      <c r="I550" s="42">
        <f t="shared" si="17"/>
        <v>1</v>
      </c>
      <c r="J550" s="53">
        <f>COUNTIFS(H$2:H550, H550)-1</f>
        <v>0</v>
      </c>
      <c r="K550" s="42" cm="1">
        <f t="array" ref="K550">IF(I550=1,
    J550,
    MAX(IF(H:H=H550, J:J)) - J550
)</f>
        <v>0</v>
      </c>
    </row>
    <row r="551" spans="1:11" hidden="1" x14ac:dyDescent="0.2">
      <c r="A551" s="43" t="s">
        <v>72</v>
      </c>
      <c r="B551" s="44" t="s">
        <v>35</v>
      </c>
      <c r="C551" s="42">
        <f>VLOOKUP(Tabela13[[#This Row],[Origem]],Tabela1[],2,FALSE)</f>
        <v>72</v>
      </c>
      <c r="D551" s="42">
        <f>VLOOKUP(Tabela13[[#This Row],[Destino]],Tabela1[],2,FALSE)</f>
        <v>35</v>
      </c>
      <c r="E551" s="51" t="s">
        <v>188</v>
      </c>
      <c r="F551" s="52" t="s">
        <v>189</v>
      </c>
      <c r="H551" s="42" t="str">
        <f t="shared" si="16"/>
        <v>Hospital SMH_Restaurante El Sombrero</v>
      </c>
      <c r="I551" s="42">
        <f t="shared" si="17"/>
        <v>-1</v>
      </c>
      <c r="J551" s="53">
        <f>COUNTIFS(H$2:H551, H551)-1</f>
        <v>1</v>
      </c>
      <c r="K551" s="42" cm="1">
        <f t="array" ref="K551">IF(I551=1,
    J551,
    MAX(IF(H:H=H551, J:J)) - J551
)</f>
        <v>0</v>
      </c>
    </row>
    <row r="552" spans="1:11" x14ac:dyDescent="0.2">
      <c r="A552" s="43" t="s">
        <v>72</v>
      </c>
      <c r="B552" s="44" t="s">
        <v>13</v>
      </c>
      <c r="C552" s="42">
        <f>VLOOKUP(Tabela13[[#This Row],[Origem]],Tabela1[],2,FALSE)</f>
        <v>72</v>
      </c>
      <c r="D552" s="42">
        <f>VLOOKUP(Tabela13[[#This Row],[Destino]],Tabela1[],2,FALSE)</f>
        <v>14</v>
      </c>
      <c r="E552" s="51" t="s">
        <v>295</v>
      </c>
      <c r="F552" s="52" t="s">
        <v>808</v>
      </c>
      <c r="H552" s="42" t="str">
        <f t="shared" si="16"/>
        <v>Bairro Valparaíso_Restaurante El Sombrero</v>
      </c>
      <c r="I552" s="42">
        <f t="shared" si="17"/>
        <v>-1</v>
      </c>
      <c r="J552" s="53">
        <f>COUNTIFS(H$2:H552, H552)-1</f>
        <v>3</v>
      </c>
      <c r="K552" s="42" cm="1">
        <f t="array" ref="K552">IF(I552=1,
    J552,
    MAX(IF(H:H=H552, J:J)) - J552
)</f>
        <v>1</v>
      </c>
    </row>
    <row r="553" spans="1:11" x14ac:dyDescent="0.2">
      <c r="A553" s="43" t="s">
        <v>72</v>
      </c>
      <c r="B553" s="44" t="s">
        <v>13</v>
      </c>
      <c r="C553" s="42">
        <f>VLOOKUP(Tabela13[[#This Row],[Origem]],Tabela1[],2,FALSE)</f>
        <v>72</v>
      </c>
      <c r="D553" s="42">
        <f>VLOOKUP(Tabela13[[#This Row],[Destino]],Tabela1[],2,FALSE)</f>
        <v>14</v>
      </c>
      <c r="E553" s="51" t="s">
        <v>296</v>
      </c>
      <c r="F553" s="52" t="s">
        <v>809</v>
      </c>
      <c r="H553" s="42" t="str">
        <f t="shared" si="16"/>
        <v>Bairro Valparaíso_Restaurante El Sombrero</v>
      </c>
      <c r="I553" s="42">
        <f t="shared" si="17"/>
        <v>-1</v>
      </c>
      <c r="J553" s="53">
        <f>COUNTIFS(H$2:H553, H553)-1</f>
        <v>4</v>
      </c>
      <c r="K553" s="42" cm="1">
        <f t="array" ref="K553">IF(I553=1,
    J553,
    MAX(IF(H:H=H553, J:J)) - J553
)</f>
        <v>0</v>
      </c>
    </row>
    <row r="554" spans="1:11" x14ac:dyDescent="0.2">
      <c r="A554" s="43" t="s">
        <v>72</v>
      </c>
      <c r="B554" s="44" t="s">
        <v>42</v>
      </c>
      <c r="C554" s="42">
        <f>VLOOKUP(Tabela13[[#This Row],[Origem]],Tabela1[],2,FALSE)</f>
        <v>72</v>
      </c>
      <c r="D554" s="42">
        <f>VLOOKUP(Tabela13[[#This Row],[Destino]],Tabela1[],2,FALSE)</f>
        <v>42</v>
      </c>
      <c r="E554" s="51" t="s">
        <v>296</v>
      </c>
      <c r="F554" s="52" t="s">
        <v>1091</v>
      </c>
      <c r="H554" s="42" t="str">
        <f t="shared" si="16"/>
        <v>Instituto Teológico_Restaurante El Sombrero</v>
      </c>
      <c r="I554" s="42">
        <f t="shared" si="17"/>
        <v>-1</v>
      </c>
      <c r="J554" s="53">
        <f>COUNTIFS(H$2:H554, H554)-1</f>
        <v>0</v>
      </c>
      <c r="K554" s="42" cm="1">
        <f t="array" ref="K554">IF(I554=1,
    J554,
    MAX(IF(H:H=H554, J:J)) - J554
)</f>
        <v>4</v>
      </c>
    </row>
    <row r="555" spans="1:11" x14ac:dyDescent="0.2">
      <c r="A555" s="43" t="s">
        <v>72</v>
      </c>
      <c r="B555" s="44" t="s">
        <v>42</v>
      </c>
      <c r="C555" s="42">
        <f>VLOOKUP(Tabela13[[#This Row],[Origem]],Tabela1[],2,FALSE)</f>
        <v>72</v>
      </c>
      <c r="D555" s="42">
        <f>VLOOKUP(Tabela13[[#This Row],[Destino]],Tabela1[],2,FALSE)</f>
        <v>42</v>
      </c>
      <c r="E555" s="51" t="s">
        <v>578</v>
      </c>
      <c r="F555" s="52" t="s">
        <v>1092</v>
      </c>
      <c r="H555" s="42" t="str">
        <f t="shared" si="16"/>
        <v>Instituto Teológico_Restaurante El Sombrero</v>
      </c>
      <c r="I555" s="42">
        <f t="shared" si="17"/>
        <v>-1</v>
      </c>
      <c r="J555" s="53">
        <f>COUNTIFS(H$2:H555, H555)-1</f>
        <v>1</v>
      </c>
      <c r="K555" s="42" cm="1">
        <f t="array" ref="K555">IF(I555=1,
    J555,
    MAX(IF(H:H=H555, J:J)) - J555
)</f>
        <v>3</v>
      </c>
    </row>
    <row r="556" spans="1:11" x14ac:dyDescent="0.2">
      <c r="A556" s="43" t="s">
        <v>72</v>
      </c>
      <c r="B556" s="44" t="s">
        <v>42</v>
      </c>
      <c r="C556" s="42">
        <f>VLOOKUP(Tabela13[[#This Row],[Origem]],Tabela1[],2,FALSE)</f>
        <v>72</v>
      </c>
      <c r="D556" s="42">
        <f>VLOOKUP(Tabela13[[#This Row],[Destino]],Tabela1[],2,FALSE)</f>
        <v>42</v>
      </c>
      <c r="E556" s="51" t="s">
        <v>579</v>
      </c>
      <c r="F556" s="52" t="s">
        <v>1093</v>
      </c>
      <c r="H556" s="42" t="str">
        <f t="shared" si="16"/>
        <v>Instituto Teológico_Restaurante El Sombrero</v>
      </c>
      <c r="I556" s="42">
        <f t="shared" si="17"/>
        <v>-1</v>
      </c>
      <c r="J556" s="53">
        <f>COUNTIFS(H$2:H556, H556)-1</f>
        <v>2</v>
      </c>
      <c r="K556" s="42" cm="1">
        <f t="array" ref="K556">IF(I556=1,
    J556,
    MAX(IF(H:H=H556, J:J)) - J556
)</f>
        <v>2</v>
      </c>
    </row>
    <row r="557" spans="1:11" x14ac:dyDescent="0.2">
      <c r="A557" s="43" t="s">
        <v>72</v>
      </c>
      <c r="B557" s="44" t="s">
        <v>42</v>
      </c>
      <c r="C557" s="42">
        <f>VLOOKUP(Tabela13[[#This Row],[Origem]],Tabela1[],2,FALSE)</f>
        <v>72</v>
      </c>
      <c r="D557" s="42">
        <f>VLOOKUP(Tabela13[[#This Row],[Destino]],Tabela1[],2,FALSE)</f>
        <v>42</v>
      </c>
      <c r="E557" s="51" t="s">
        <v>580</v>
      </c>
      <c r="F557" s="52" t="s">
        <v>1094</v>
      </c>
      <c r="H557" s="42" t="str">
        <f t="shared" si="16"/>
        <v>Instituto Teológico_Restaurante El Sombrero</v>
      </c>
      <c r="I557" s="42">
        <f t="shared" si="17"/>
        <v>-1</v>
      </c>
      <c r="J557" s="53">
        <f>COUNTIFS(H$2:H557, H557)-1</f>
        <v>3</v>
      </c>
      <c r="K557" s="42" cm="1">
        <f t="array" ref="K557">IF(I557=1,
    J557,
    MAX(IF(H:H=H557, J:J)) - J557
)</f>
        <v>1</v>
      </c>
    </row>
    <row r="558" spans="1:11" x14ac:dyDescent="0.2">
      <c r="A558" s="43" t="s">
        <v>72</v>
      </c>
      <c r="B558" s="44" t="s">
        <v>42</v>
      </c>
      <c r="C558" s="42">
        <f>VLOOKUP(Tabela13[[#This Row],[Origem]],Tabela1[],2,FALSE)</f>
        <v>72</v>
      </c>
      <c r="D558" s="42">
        <f>VLOOKUP(Tabela13[[#This Row],[Destino]],Tabela1[],2,FALSE)</f>
        <v>42</v>
      </c>
      <c r="E558" s="51" t="s">
        <v>581</v>
      </c>
      <c r="F558" s="52" t="s">
        <v>1095</v>
      </c>
      <c r="H558" s="42" t="str">
        <f t="shared" si="16"/>
        <v>Instituto Teológico_Restaurante El Sombrero</v>
      </c>
      <c r="I558" s="42">
        <f t="shared" si="17"/>
        <v>-1</v>
      </c>
      <c r="J558" s="53">
        <f>COUNTIFS(H$2:H558, H558)-1</f>
        <v>4</v>
      </c>
      <c r="K558" s="42" cm="1">
        <f t="array" ref="K558">IF(I558=1,
    J558,
    MAX(IF(H:H=H558, J:J)) - J558
)</f>
        <v>0</v>
      </c>
    </row>
    <row r="559" spans="1:11" x14ac:dyDescent="0.2">
      <c r="A559" s="43" t="s">
        <v>73</v>
      </c>
      <c r="B559" s="44" t="s">
        <v>5</v>
      </c>
      <c r="C559" s="42">
        <f>VLOOKUP(Tabela13[[#This Row],[Origem]],Tabela1[],2,FALSE)</f>
        <v>73</v>
      </c>
      <c r="D559" s="42">
        <f>VLOOKUP(Tabela13[[#This Row],[Destino]],Tabela1[],2,FALSE)</f>
        <v>6</v>
      </c>
      <c r="E559" s="51" t="s">
        <v>297</v>
      </c>
      <c r="F559" s="52" t="s">
        <v>810</v>
      </c>
      <c r="H559" s="42" t="str">
        <f t="shared" si="16"/>
        <v>Avenida Piabanha_Restaurante Gehren</v>
      </c>
      <c r="I559" s="42">
        <f t="shared" si="17"/>
        <v>-1</v>
      </c>
      <c r="J559" s="53">
        <f>COUNTIFS(H$2:H559, H559)-1</f>
        <v>0</v>
      </c>
      <c r="K559" s="42" cm="1">
        <f t="array" ref="K559">IF(I559=1,
    J559,
    MAX(IF(H:H=H559, J:J)) - J559
)</f>
        <v>0</v>
      </c>
    </row>
    <row r="560" spans="1:11" x14ac:dyDescent="0.2">
      <c r="A560" s="43" t="s">
        <v>73</v>
      </c>
      <c r="B560" s="44" t="s">
        <v>54</v>
      </c>
      <c r="C560" s="42">
        <f>VLOOKUP(Tabela13[[#This Row],[Origem]],Tabela1[],2,FALSE)</f>
        <v>73</v>
      </c>
      <c r="D560" s="42">
        <f>VLOOKUP(Tabela13[[#This Row],[Destino]],Tabela1[],2,FALSE)</f>
        <v>54</v>
      </c>
      <c r="E560" s="51" t="s">
        <v>582</v>
      </c>
      <c r="F560" s="52" t="s">
        <v>1096</v>
      </c>
      <c r="H560" s="42" t="str">
        <f t="shared" si="16"/>
        <v>Palácio de Cristal_Restaurante Gehren</v>
      </c>
      <c r="I560" s="42">
        <f t="shared" si="17"/>
        <v>-1</v>
      </c>
      <c r="J560" s="53">
        <f>COUNTIFS(H$2:H560, H560)-1</f>
        <v>0</v>
      </c>
      <c r="K560" s="42" cm="1">
        <f t="array" ref="K560">IF(I560=1,
    J560,
    MAX(IF(H:H=H560, J:J)) - J560
)</f>
        <v>6</v>
      </c>
    </row>
    <row r="561" spans="1:11" x14ac:dyDescent="0.2">
      <c r="A561" s="43" t="s">
        <v>73</v>
      </c>
      <c r="B561" s="44" t="s">
        <v>54</v>
      </c>
      <c r="C561" s="42">
        <f>VLOOKUP(Tabela13[[#This Row],[Origem]],Tabela1[],2,FALSE)</f>
        <v>73</v>
      </c>
      <c r="D561" s="42">
        <f>VLOOKUP(Tabela13[[#This Row],[Destino]],Tabela1[],2,FALSE)</f>
        <v>54</v>
      </c>
      <c r="E561" s="51" t="s">
        <v>583</v>
      </c>
      <c r="F561" s="52" t="s">
        <v>1097</v>
      </c>
      <c r="H561" s="42" t="str">
        <f t="shared" si="16"/>
        <v>Palácio de Cristal_Restaurante Gehren</v>
      </c>
      <c r="I561" s="42">
        <f t="shared" si="17"/>
        <v>-1</v>
      </c>
      <c r="J561" s="53">
        <f>COUNTIFS(H$2:H561, H561)-1</f>
        <v>1</v>
      </c>
      <c r="K561" s="42" cm="1">
        <f t="array" ref="K561">IF(I561=1,
    J561,
    MAX(IF(H:H=H561, J:J)) - J561
)</f>
        <v>5</v>
      </c>
    </row>
    <row r="562" spans="1:11" x14ac:dyDescent="0.2">
      <c r="A562" s="43" t="s">
        <v>73</v>
      </c>
      <c r="B562" s="44" t="s">
        <v>54</v>
      </c>
      <c r="C562" s="42">
        <f>VLOOKUP(Tabela13[[#This Row],[Origem]],Tabela1[],2,FALSE)</f>
        <v>73</v>
      </c>
      <c r="D562" s="42">
        <f>VLOOKUP(Tabela13[[#This Row],[Destino]],Tabela1[],2,FALSE)</f>
        <v>54</v>
      </c>
      <c r="E562" s="51" t="s">
        <v>584</v>
      </c>
      <c r="F562" s="52" t="s">
        <v>1098</v>
      </c>
      <c r="H562" s="42" t="str">
        <f t="shared" si="16"/>
        <v>Palácio de Cristal_Restaurante Gehren</v>
      </c>
      <c r="I562" s="42">
        <f t="shared" si="17"/>
        <v>-1</v>
      </c>
      <c r="J562" s="53">
        <f>COUNTIFS(H$2:H562, H562)-1</f>
        <v>2</v>
      </c>
      <c r="K562" s="42" cm="1">
        <f t="array" ref="K562">IF(I562=1,
    J562,
    MAX(IF(H:H=H562, J:J)) - J562
)</f>
        <v>4</v>
      </c>
    </row>
    <row r="563" spans="1:11" x14ac:dyDescent="0.2">
      <c r="A563" s="43" t="s">
        <v>73</v>
      </c>
      <c r="B563" s="44" t="s">
        <v>54</v>
      </c>
      <c r="C563" s="42">
        <f>VLOOKUP(Tabela13[[#This Row],[Origem]],Tabela1[],2,FALSE)</f>
        <v>73</v>
      </c>
      <c r="D563" s="42">
        <f>VLOOKUP(Tabela13[[#This Row],[Destino]],Tabela1[],2,FALSE)</f>
        <v>54</v>
      </c>
      <c r="E563" s="51" t="s">
        <v>585</v>
      </c>
      <c r="F563" s="52" t="s">
        <v>1099</v>
      </c>
      <c r="H563" s="42" t="str">
        <f t="shared" si="16"/>
        <v>Palácio de Cristal_Restaurante Gehren</v>
      </c>
      <c r="I563" s="42">
        <f t="shared" si="17"/>
        <v>-1</v>
      </c>
      <c r="J563" s="53">
        <f>COUNTIFS(H$2:H563, H563)-1</f>
        <v>3</v>
      </c>
      <c r="K563" s="42" cm="1">
        <f t="array" ref="K563">IF(I563=1,
    J563,
    MAX(IF(H:H=H563, J:J)) - J563
)</f>
        <v>3</v>
      </c>
    </row>
    <row r="564" spans="1:11" x14ac:dyDescent="0.2">
      <c r="A564" s="43" t="s">
        <v>73</v>
      </c>
      <c r="B564" s="44" t="s">
        <v>54</v>
      </c>
      <c r="C564" s="42">
        <f>VLOOKUP(Tabela13[[#This Row],[Origem]],Tabela1[],2,FALSE)</f>
        <v>73</v>
      </c>
      <c r="D564" s="42">
        <f>VLOOKUP(Tabela13[[#This Row],[Destino]],Tabela1[],2,FALSE)</f>
        <v>54</v>
      </c>
      <c r="E564" s="51" t="s">
        <v>586</v>
      </c>
      <c r="F564" s="52" t="s">
        <v>1100</v>
      </c>
      <c r="H564" s="42" t="str">
        <f t="shared" si="16"/>
        <v>Palácio de Cristal_Restaurante Gehren</v>
      </c>
      <c r="I564" s="42">
        <f t="shared" si="17"/>
        <v>-1</v>
      </c>
      <c r="J564" s="53">
        <f>COUNTIFS(H$2:H564, H564)-1</f>
        <v>4</v>
      </c>
      <c r="K564" s="42" cm="1">
        <f t="array" ref="K564">IF(I564=1,
    J564,
    MAX(IF(H:H=H564, J:J)) - J564
)</f>
        <v>2</v>
      </c>
    </row>
    <row r="565" spans="1:11" x14ac:dyDescent="0.2">
      <c r="A565" s="43" t="s">
        <v>73</v>
      </c>
      <c r="B565" s="44" t="s">
        <v>54</v>
      </c>
      <c r="C565" s="42">
        <f>VLOOKUP(Tabela13[[#This Row],[Origem]],Tabela1[],2,FALSE)</f>
        <v>73</v>
      </c>
      <c r="D565" s="42">
        <f>VLOOKUP(Tabela13[[#This Row],[Destino]],Tabela1[],2,FALSE)</f>
        <v>54</v>
      </c>
      <c r="E565" s="51" t="s">
        <v>587</v>
      </c>
      <c r="F565" s="52" t="s">
        <v>1101</v>
      </c>
      <c r="H565" s="42" t="str">
        <f t="shared" si="16"/>
        <v>Palácio de Cristal_Restaurante Gehren</v>
      </c>
      <c r="I565" s="42">
        <f t="shared" si="17"/>
        <v>-1</v>
      </c>
      <c r="J565" s="53">
        <f>COUNTIFS(H$2:H565, H565)-1</f>
        <v>5</v>
      </c>
      <c r="K565" s="42" cm="1">
        <f t="array" ref="K565">IF(I565=1,
    J565,
    MAX(IF(H:H=H565, J:J)) - J565
)</f>
        <v>1</v>
      </c>
    </row>
    <row r="566" spans="1:11" x14ac:dyDescent="0.2">
      <c r="A566" s="43" t="s">
        <v>73</v>
      </c>
      <c r="B566" s="44" t="s">
        <v>54</v>
      </c>
      <c r="C566" s="42">
        <f>VLOOKUP(Tabela13[[#This Row],[Origem]],Tabela1[],2,FALSE)</f>
        <v>73</v>
      </c>
      <c r="D566" s="42">
        <f>VLOOKUP(Tabela13[[#This Row],[Destino]],Tabela1[],2,FALSE)</f>
        <v>54</v>
      </c>
      <c r="E566" s="51" t="s">
        <v>588</v>
      </c>
      <c r="F566" s="52" t="s">
        <v>1102</v>
      </c>
      <c r="H566" s="42" t="str">
        <f t="shared" si="16"/>
        <v>Palácio de Cristal_Restaurante Gehren</v>
      </c>
      <c r="I566" s="42">
        <f t="shared" si="17"/>
        <v>-1</v>
      </c>
      <c r="J566" s="53">
        <f>COUNTIFS(H$2:H566, H566)-1</f>
        <v>6</v>
      </c>
      <c r="K566" s="42" cm="1">
        <f t="array" ref="K566">IF(I566=1,
    J566,
    MAX(IF(H:H=H566, J:J)) - J566
)</f>
        <v>0</v>
      </c>
    </row>
    <row r="567" spans="1:11" x14ac:dyDescent="0.2">
      <c r="A567" s="43" t="s">
        <v>74</v>
      </c>
      <c r="B567" s="44" t="s">
        <v>37</v>
      </c>
      <c r="C567" s="42">
        <f>VLOOKUP(Tabela13[[#This Row],[Origem]],Tabela1[],2,FALSE)</f>
        <v>74</v>
      </c>
      <c r="D567" s="42">
        <f>VLOOKUP(Tabela13[[#This Row],[Destino]],Tabela1[],2,FALSE)</f>
        <v>37</v>
      </c>
      <c r="E567" s="51" t="s">
        <v>589</v>
      </c>
      <c r="F567" s="52" t="s">
        <v>1103</v>
      </c>
      <c r="H567" s="42" t="str">
        <f t="shared" si="16"/>
        <v>Hotel Solar Imperial_Restaurante Marowill</v>
      </c>
      <c r="I567" s="42">
        <f t="shared" si="17"/>
        <v>-1</v>
      </c>
      <c r="J567" s="53">
        <f>COUNTIFS(H$2:H567, H567)-1</f>
        <v>0</v>
      </c>
      <c r="K567" s="42" cm="1">
        <f t="array" ref="K567">IF(I567=1,
    J567,
    MAX(IF(H:H=H567, J:J)) - J567
)</f>
        <v>0</v>
      </c>
    </row>
    <row r="568" spans="1:11" hidden="1" x14ac:dyDescent="0.2">
      <c r="A568" s="43" t="s">
        <v>75</v>
      </c>
      <c r="B568" s="44" t="s">
        <v>99</v>
      </c>
      <c r="C568" s="42">
        <f>VLOOKUP(Tabela13[[#This Row],[Origem]],Tabela1[],2,FALSE)</f>
        <v>75</v>
      </c>
      <c r="D568" s="42">
        <f>VLOOKUP(Tabela13[[#This Row],[Destino]],Tabela1[],2,FALSE)</f>
        <v>99</v>
      </c>
      <c r="E568" s="51" t="s">
        <v>188</v>
      </c>
      <c r="F568" s="52" t="s">
        <v>189</v>
      </c>
      <c r="H568" s="42" t="str">
        <f t="shared" si="16"/>
        <v>Restaurante Odin_Tabacaria Be Happy</v>
      </c>
      <c r="I568" s="42">
        <f t="shared" si="17"/>
        <v>1</v>
      </c>
      <c r="J568" s="53">
        <f>COUNTIFS(H$2:H568, H568)-1</f>
        <v>0</v>
      </c>
      <c r="K568" s="42" cm="1">
        <f t="array" ref="K568">IF(I568=1,
    J568,
    MAX(IF(H:H=H568, J:J)) - J568
)</f>
        <v>0</v>
      </c>
    </row>
    <row r="569" spans="1:11" x14ac:dyDescent="0.2">
      <c r="A569" s="43" t="s">
        <v>76</v>
      </c>
      <c r="B569" s="44" t="s">
        <v>11</v>
      </c>
      <c r="C569" s="42">
        <f>VLOOKUP(Tabela13[[#This Row],[Origem]],Tabela1[],2,FALSE)</f>
        <v>76</v>
      </c>
      <c r="D569" s="42">
        <f>VLOOKUP(Tabela13[[#This Row],[Destino]],Tabela1[],2,FALSE)</f>
        <v>12</v>
      </c>
      <c r="E569" s="51" t="s">
        <v>590</v>
      </c>
      <c r="F569" s="52" t="s">
        <v>1104</v>
      </c>
      <c r="H569" s="42" t="str">
        <f t="shared" si="16"/>
        <v>Bairro Moinho Preto_Rodoviária</v>
      </c>
      <c r="I569" s="42">
        <f t="shared" si="17"/>
        <v>-1</v>
      </c>
      <c r="J569" s="53">
        <f>COUNTIFS(H$2:H569, H569)-1</f>
        <v>0</v>
      </c>
      <c r="K569" s="42" cm="1">
        <f t="array" ref="K569">IF(I569=1,
    J569,
    MAX(IF(H:H=H569, J:J)) - J569
)</f>
        <v>24</v>
      </c>
    </row>
    <row r="570" spans="1:11" x14ac:dyDescent="0.2">
      <c r="A570" s="43" t="s">
        <v>76</v>
      </c>
      <c r="B570" s="44" t="s">
        <v>11</v>
      </c>
      <c r="C570" s="42">
        <f>VLOOKUP(Tabela13[[#This Row],[Origem]],Tabela1[],2,FALSE)</f>
        <v>76</v>
      </c>
      <c r="D570" s="42">
        <f>VLOOKUP(Tabela13[[#This Row],[Destino]],Tabela1[],2,FALSE)</f>
        <v>12</v>
      </c>
      <c r="E570" s="51" t="s">
        <v>591</v>
      </c>
      <c r="F570" s="52" t="s">
        <v>1105</v>
      </c>
      <c r="H570" s="42" t="str">
        <f t="shared" si="16"/>
        <v>Bairro Moinho Preto_Rodoviária</v>
      </c>
      <c r="I570" s="42">
        <f t="shared" si="17"/>
        <v>-1</v>
      </c>
      <c r="J570" s="53">
        <f>COUNTIFS(H$2:H570, H570)-1</f>
        <v>1</v>
      </c>
      <c r="K570" s="42" cm="1">
        <f t="array" ref="K570">IF(I570=1,
    J570,
    MAX(IF(H:H=H570, J:J)) - J570
)</f>
        <v>23</v>
      </c>
    </row>
    <row r="571" spans="1:11" x14ac:dyDescent="0.2">
      <c r="A571" s="43" t="s">
        <v>76</v>
      </c>
      <c r="B571" s="44" t="s">
        <v>11</v>
      </c>
      <c r="C571" s="42">
        <f>VLOOKUP(Tabela13[[#This Row],[Origem]],Tabela1[],2,FALSE)</f>
        <v>76</v>
      </c>
      <c r="D571" s="42">
        <f>VLOOKUP(Tabela13[[#This Row],[Destino]],Tabela1[],2,FALSE)</f>
        <v>12</v>
      </c>
      <c r="E571" s="51" t="s">
        <v>592</v>
      </c>
      <c r="F571" s="52" t="s">
        <v>1106</v>
      </c>
      <c r="H571" s="42" t="str">
        <f t="shared" si="16"/>
        <v>Bairro Moinho Preto_Rodoviária</v>
      </c>
      <c r="I571" s="42">
        <f t="shared" si="17"/>
        <v>-1</v>
      </c>
      <c r="J571" s="53">
        <f>COUNTIFS(H$2:H571, H571)-1</f>
        <v>2</v>
      </c>
      <c r="K571" s="42" cm="1">
        <f t="array" ref="K571">IF(I571=1,
    J571,
    MAX(IF(H:H=H571, J:J)) - J571
)</f>
        <v>22</v>
      </c>
    </row>
    <row r="572" spans="1:11" x14ac:dyDescent="0.2">
      <c r="A572" s="43" t="s">
        <v>76</v>
      </c>
      <c r="B572" s="44" t="s">
        <v>11</v>
      </c>
      <c r="C572" s="42">
        <f>VLOOKUP(Tabela13[[#This Row],[Origem]],Tabela1[],2,FALSE)</f>
        <v>76</v>
      </c>
      <c r="D572" s="42">
        <f>VLOOKUP(Tabela13[[#This Row],[Destino]],Tabela1[],2,FALSE)</f>
        <v>12</v>
      </c>
      <c r="E572" s="51" t="s">
        <v>593</v>
      </c>
      <c r="F572" s="52" t="s">
        <v>1107</v>
      </c>
      <c r="H572" s="42" t="str">
        <f t="shared" si="16"/>
        <v>Bairro Moinho Preto_Rodoviária</v>
      </c>
      <c r="I572" s="42">
        <f t="shared" si="17"/>
        <v>-1</v>
      </c>
      <c r="J572" s="53">
        <f>COUNTIFS(H$2:H572, H572)-1</f>
        <v>3</v>
      </c>
      <c r="K572" s="42" cm="1">
        <f t="array" ref="K572">IF(I572=1,
    J572,
    MAX(IF(H:H=H572, J:J)) - J572
)</f>
        <v>21</v>
      </c>
    </row>
    <row r="573" spans="1:11" x14ac:dyDescent="0.2">
      <c r="A573" s="43" t="s">
        <v>76</v>
      </c>
      <c r="B573" s="44" t="s">
        <v>11</v>
      </c>
      <c r="C573" s="42">
        <f>VLOOKUP(Tabela13[[#This Row],[Origem]],Tabela1[],2,FALSE)</f>
        <v>76</v>
      </c>
      <c r="D573" s="42">
        <f>VLOOKUP(Tabela13[[#This Row],[Destino]],Tabela1[],2,FALSE)</f>
        <v>12</v>
      </c>
      <c r="E573" s="51" t="s">
        <v>594</v>
      </c>
      <c r="F573" s="52" t="s">
        <v>1108</v>
      </c>
      <c r="H573" s="42" t="str">
        <f t="shared" si="16"/>
        <v>Bairro Moinho Preto_Rodoviária</v>
      </c>
      <c r="I573" s="42">
        <f t="shared" si="17"/>
        <v>-1</v>
      </c>
      <c r="J573" s="53">
        <f>COUNTIFS(H$2:H573, H573)-1</f>
        <v>4</v>
      </c>
      <c r="K573" s="42" cm="1">
        <f t="array" ref="K573">IF(I573=1,
    J573,
    MAX(IF(H:H=H573, J:J)) - J573
)</f>
        <v>20</v>
      </c>
    </row>
    <row r="574" spans="1:11" x14ac:dyDescent="0.2">
      <c r="A574" s="43" t="s">
        <v>76</v>
      </c>
      <c r="B574" s="44" t="s">
        <v>11</v>
      </c>
      <c r="C574" s="42">
        <f>VLOOKUP(Tabela13[[#This Row],[Origem]],Tabela1[],2,FALSE)</f>
        <v>76</v>
      </c>
      <c r="D574" s="42">
        <f>VLOOKUP(Tabela13[[#This Row],[Destino]],Tabela1[],2,FALSE)</f>
        <v>12</v>
      </c>
      <c r="E574" s="51" t="s">
        <v>595</v>
      </c>
      <c r="F574" s="52" t="s">
        <v>1109</v>
      </c>
      <c r="H574" s="42" t="str">
        <f t="shared" si="16"/>
        <v>Bairro Moinho Preto_Rodoviária</v>
      </c>
      <c r="I574" s="42">
        <f t="shared" si="17"/>
        <v>-1</v>
      </c>
      <c r="J574" s="53">
        <f>COUNTIFS(H$2:H574, H574)-1</f>
        <v>5</v>
      </c>
      <c r="K574" s="42" cm="1">
        <f t="array" ref="K574">IF(I574=1,
    J574,
    MAX(IF(H:H=H574, J:J)) - J574
)</f>
        <v>19</v>
      </c>
    </row>
    <row r="575" spans="1:11" x14ac:dyDescent="0.2">
      <c r="A575" s="43" t="s">
        <v>76</v>
      </c>
      <c r="B575" s="44" t="s">
        <v>11</v>
      </c>
      <c r="C575" s="42">
        <f>VLOOKUP(Tabela13[[#This Row],[Origem]],Tabela1[],2,FALSE)</f>
        <v>76</v>
      </c>
      <c r="D575" s="42">
        <f>VLOOKUP(Tabela13[[#This Row],[Destino]],Tabela1[],2,FALSE)</f>
        <v>12</v>
      </c>
      <c r="E575" s="51" t="s">
        <v>596</v>
      </c>
      <c r="F575" s="52" t="s">
        <v>1110</v>
      </c>
      <c r="H575" s="42" t="str">
        <f t="shared" si="16"/>
        <v>Bairro Moinho Preto_Rodoviária</v>
      </c>
      <c r="I575" s="42">
        <f t="shared" si="17"/>
        <v>-1</v>
      </c>
      <c r="J575" s="53">
        <f>COUNTIFS(H$2:H575, H575)-1</f>
        <v>6</v>
      </c>
      <c r="K575" s="42" cm="1">
        <f t="array" ref="K575">IF(I575=1,
    J575,
    MAX(IF(H:H=H575, J:J)) - J575
)</f>
        <v>18</v>
      </c>
    </row>
    <row r="576" spans="1:11" x14ac:dyDescent="0.2">
      <c r="A576" s="43" t="s">
        <v>76</v>
      </c>
      <c r="B576" s="44" t="s">
        <v>11</v>
      </c>
      <c r="C576" s="42">
        <f>VLOOKUP(Tabela13[[#This Row],[Origem]],Tabela1[],2,FALSE)</f>
        <v>76</v>
      </c>
      <c r="D576" s="42">
        <f>VLOOKUP(Tabela13[[#This Row],[Destino]],Tabela1[],2,FALSE)</f>
        <v>12</v>
      </c>
      <c r="E576" s="51" t="s">
        <v>597</v>
      </c>
      <c r="F576" s="52" t="s">
        <v>1111</v>
      </c>
      <c r="H576" s="42" t="str">
        <f t="shared" si="16"/>
        <v>Bairro Moinho Preto_Rodoviária</v>
      </c>
      <c r="I576" s="42">
        <f t="shared" si="17"/>
        <v>-1</v>
      </c>
      <c r="J576" s="53">
        <f>COUNTIFS(H$2:H576, H576)-1</f>
        <v>7</v>
      </c>
      <c r="K576" s="42" cm="1">
        <f t="array" ref="K576">IF(I576=1,
    J576,
    MAX(IF(H:H=H576, J:J)) - J576
)</f>
        <v>17</v>
      </c>
    </row>
    <row r="577" spans="1:11" x14ac:dyDescent="0.2">
      <c r="A577" s="43" t="s">
        <v>76</v>
      </c>
      <c r="B577" s="44" t="s">
        <v>11</v>
      </c>
      <c r="C577" s="42">
        <f>VLOOKUP(Tabela13[[#This Row],[Origem]],Tabela1[],2,FALSE)</f>
        <v>76</v>
      </c>
      <c r="D577" s="42">
        <f>VLOOKUP(Tabela13[[#This Row],[Destino]],Tabela1[],2,FALSE)</f>
        <v>12</v>
      </c>
      <c r="E577" s="51" t="s">
        <v>598</v>
      </c>
      <c r="F577" s="52" t="s">
        <v>1112</v>
      </c>
      <c r="H577" s="42" t="str">
        <f t="shared" si="16"/>
        <v>Bairro Moinho Preto_Rodoviária</v>
      </c>
      <c r="I577" s="42">
        <f t="shared" si="17"/>
        <v>-1</v>
      </c>
      <c r="J577" s="53">
        <f>COUNTIFS(H$2:H577, H577)-1</f>
        <v>8</v>
      </c>
      <c r="K577" s="42" cm="1">
        <f t="array" ref="K577">IF(I577=1,
    J577,
    MAX(IF(H:H=H577, J:J)) - J577
)</f>
        <v>16</v>
      </c>
    </row>
    <row r="578" spans="1:11" x14ac:dyDescent="0.2">
      <c r="A578" s="43" t="s">
        <v>76</v>
      </c>
      <c r="B578" s="44" t="s">
        <v>11</v>
      </c>
      <c r="C578" s="42">
        <f>VLOOKUP(Tabela13[[#This Row],[Origem]],Tabela1[],2,FALSE)</f>
        <v>76</v>
      </c>
      <c r="D578" s="42">
        <f>VLOOKUP(Tabela13[[#This Row],[Destino]],Tabela1[],2,FALSE)</f>
        <v>12</v>
      </c>
      <c r="E578" s="51" t="s">
        <v>599</v>
      </c>
      <c r="F578" s="52" t="s">
        <v>1113</v>
      </c>
      <c r="H578" s="42" t="str">
        <f t="shared" ref="H578:H641" si="18">IF(A578&lt;B578, A578&amp;"_"&amp;B578, B578&amp;"_"&amp;A578)</f>
        <v>Bairro Moinho Preto_Rodoviária</v>
      </c>
      <c r="I578" s="42">
        <f t="shared" ref="I578:I641" si="19">IF(A578&lt;B578, 1, -1)</f>
        <v>-1</v>
      </c>
      <c r="J578" s="53">
        <f>COUNTIFS(H$2:H578, H578)-1</f>
        <v>9</v>
      </c>
      <c r="K578" s="42" cm="1">
        <f t="array" ref="K578">IF(I578=1,
    J578,
    MAX(IF(H:H=H578, J:J)) - J578
)</f>
        <v>15</v>
      </c>
    </row>
    <row r="579" spans="1:11" x14ac:dyDescent="0.2">
      <c r="A579" s="43" t="s">
        <v>76</v>
      </c>
      <c r="B579" s="44" t="s">
        <v>11</v>
      </c>
      <c r="C579" s="42">
        <f>VLOOKUP(Tabela13[[#This Row],[Origem]],Tabela1[],2,FALSE)</f>
        <v>76</v>
      </c>
      <c r="D579" s="42">
        <f>VLOOKUP(Tabela13[[#This Row],[Destino]],Tabela1[],2,FALSE)</f>
        <v>12</v>
      </c>
      <c r="E579" s="51" t="s">
        <v>600</v>
      </c>
      <c r="F579" s="52" t="s">
        <v>1114</v>
      </c>
      <c r="H579" s="42" t="str">
        <f t="shared" si="18"/>
        <v>Bairro Moinho Preto_Rodoviária</v>
      </c>
      <c r="I579" s="42">
        <f t="shared" si="19"/>
        <v>-1</v>
      </c>
      <c r="J579" s="53">
        <f>COUNTIFS(H$2:H579, H579)-1</f>
        <v>10</v>
      </c>
      <c r="K579" s="42" cm="1">
        <f t="array" ref="K579">IF(I579=1,
    J579,
    MAX(IF(H:H=H579, J:J)) - J579
)</f>
        <v>14</v>
      </c>
    </row>
    <row r="580" spans="1:11" x14ac:dyDescent="0.2">
      <c r="A580" s="43" t="s">
        <v>76</v>
      </c>
      <c r="B580" s="44" t="s">
        <v>11</v>
      </c>
      <c r="C580" s="42">
        <f>VLOOKUP(Tabela13[[#This Row],[Origem]],Tabela1[],2,FALSE)</f>
        <v>76</v>
      </c>
      <c r="D580" s="42">
        <f>VLOOKUP(Tabela13[[#This Row],[Destino]],Tabela1[],2,FALSE)</f>
        <v>12</v>
      </c>
      <c r="E580" s="51" t="s">
        <v>601</v>
      </c>
      <c r="F580" s="52" t="s">
        <v>1115</v>
      </c>
      <c r="H580" s="42" t="str">
        <f t="shared" si="18"/>
        <v>Bairro Moinho Preto_Rodoviária</v>
      </c>
      <c r="I580" s="42">
        <f t="shared" si="19"/>
        <v>-1</v>
      </c>
      <c r="J580" s="53">
        <f>COUNTIFS(H$2:H580, H580)-1</f>
        <v>11</v>
      </c>
      <c r="K580" s="42" cm="1">
        <f t="array" ref="K580">IF(I580=1,
    J580,
    MAX(IF(H:H=H580, J:J)) - J580
)</f>
        <v>13</v>
      </c>
    </row>
    <row r="581" spans="1:11" x14ac:dyDescent="0.2">
      <c r="A581" s="43" t="s">
        <v>76</v>
      </c>
      <c r="B581" s="44" t="s">
        <v>11</v>
      </c>
      <c r="C581" s="42">
        <f>VLOOKUP(Tabela13[[#This Row],[Origem]],Tabela1[],2,FALSE)</f>
        <v>76</v>
      </c>
      <c r="D581" s="42">
        <f>VLOOKUP(Tabela13[[#This Row],[Destino]],Tabela1[],2,FALSE)</f>
        <v>12</v>
      </c>
      <c r="E581" s="51" t="s">
        <v>602</v>
      </c>
      <c r="F581" s="52" t="s">
        <v>1116</v>
      </c>
      <c r="H581" s="42" t="str">
        <f t="shared" si="18"/>
        <v>Bairro Moinho Preto_Rodoviária</v>
      </c>
      <c r="I581" s="42">
        <f t="shared" si="19"/>
        <v>-1</v>
      </c>
      <c r="J581" s="53">
        <f>COUNTIFS(H$2:H581, H581)-1</f>
        <v>12</v>
      </c>
      <c r="K581" s="42" cm="1">
        <f t="array" ref="K581">IF(I581=1,
    J581,
    MAX(IF(H:H=H581, J:J)) - J581
)</f>
        <v>12</v>
      </c>
    </row>
    <row r="582" spans="1:11" x14ac:dyDescent="0.2">
      <c r="A582" s="43" t="s">
        <v>76</v>
      </c>
      <c r="B582" s="44" t="s">
        <v>11</v>
      </c>
      <c r="C582" s="42">
        <f>VLOOKUP(Tabela13[[#This Row],[Origem]],Tabela1[],2,FALSE)</f>
        <v>76</v>
      </c>
      <c r="D582" s="42">
        <f>VLOOKUP(Tabela13[[#This Row],[Destino]],Tabela1[],2,FALSE)</f>
        <v>12</v>
      </c>
      <c r="E582" s="51" t="s">
        <v>603</v>
      </c>
      <c r="F582" s="52" t="s">
        <v>1117</v>
      </c>
      <c r="H582" s="42" t="str">
        <f t="shared" si="18"/>
        <v>Bairro Moinho Preto_Rodoviária</v>
      </c>
      <c r="I582" s="42">
        <f t="shared" si="19"/>
        <v>-1</v>
      </c>
      <c r="J582" s="53">
        <f>COUNTIFS(H$2:H582, H582)-1</f>
        <v>13</v>
      </c>
      <c r="K582" s="42" cm="1">
        <f t="array" ref="K582">IF(I582=1,
    J582,
    MAX(IF(H:H=H582, J:J)) - J582
)</f>
        <v>11</v>
      </c>
    </row>
    <row r="583" spans="1:11" x14ac:dyDescent="0.2">
      <c r="A583" s="43" t="s">
        <v>76</v>
      </c>
      <c r="B583" s="44" t="s">
        <v>11</v>
      </c>
      <c r="C583" s="42">
        <f>VLOOKUP(Tabela13[[#This Row],[Origem]],Tabela1[],2,FALSE)</f>
        <v>76</v>
      </c>
      <c r="D583" s="42">
        <f>VLOOKUP(Tabela13[[#This Row],[Destino]],Tabela1[],2,FALSE)</f>
        <v>12</v>
      </c>
      <c r="E583" s="51" t="s">
        <v>604</v>
      </c>
      <c r="F583" s="52" t="s">
        <v>1118</v>
      </c>
      <c r="H583" s="42" t="str">
        <f t="shared" si="18"/>
        <v>Bairro Moinho Preto_Rodoviária</v>
      </c>
      <c r="I583" s="42">
        <f t="shared" si="19"/>
        <v>-1</v>
      </c>
      <c r="J583" s="53">
        <f>COUNTIFS(H$2:H583, H583)-1</f>
        <v>14</v>
      </c>
      <c r="K583" s="42" cm="1">
        <f t="array" ref="K583">IF(I583=1,
    J583,
    MAX(IF(H:H=H583, J:J)) - J583
)</f>
        <v>10</v>
      </c>
    </row>
    <row r="584" spans="1:11" x14ac:dyDescent="0.2">
      <c r="A584" s="43" t="s">
        <v>76</v>
      </c>
      <c r="B584" s="44" t="s">
        <v>11</v>
      </c>
      <c r="C584" s="42">
        <f>VLOOKUP(Tabela13[[#This Row],[Origem]],Tabela1[],2,FALSE)</f>
        <v>76</v>
      </c>
      <c r="D584" s="42">
        <f>VLOOKUP(Tabela13[[#This Row],[Destino]],Tabela1[],2,FALSE)</f>
        <v>12</v>
      </c>
      <c r="E584" s="51" t="s">
        <v>605</v>
      </c>
      <c r="F584" s="52" t="s">
        <v>1119</v>
      </c>
      <c r="H584" s="42" t="str">
        <f t="shared" si="18"/>
        <v>Bairro Moinho Preto_Rodoviária</v>
      </c>
      <c r="I584" s="42">
        <f t="shared" si="19"/>
        <v>-1</v>
      </c>
      <c r="J584" s="53">
        <f>COUNTIFS(H$2:H584, H584)-1</f>
        <v>15</v>
      </c>
      <c r="K584" s="42" cm="1">
        <f t="array" ref="K584">IF(I584=1,
    J584,
    MAX(IF(H:H=H584, J:J)) - J584
)</f>
        <v>9</v>
      </c>
    </row>
    <row r="585" spans="1:11" x14ac:dyDescent="0.2">
      <c r="A585" s="43" t="s">
        <v>76</v>
      </c>
      <c r="B585" s="44" t="s">
        <v>11</v>
      </c>
      <c r="C585" s="42">
        <f>VLOOKUP(Tabela13[[#This Row],[Origem]],Tabela1[],2,FALSE)</f>
        <v>76</v>
      </c>
      <c r="D585" s="42">
        <f>VLOOKUP(Tabela13[[#This Row],[Destino]],Tabela1[],2,FALSE)</f>
        <v>12</v>
      </c>
      <c r="E585" s="51" t="s">
        <v>606</v>
      </c>
      <c r="F585" s="52" t="s">
        <v>1120</v>
      </c>
      <c r="H585" s="42" t="str">
        <f t="shared" si="18"/>
        <v>Bairro Moinho Preto_Rodoviária</v>
      </c>
      <c r="I585" s="42">
        <f t="shared" si="19"/>
        <v>-1</v>
      </c>
      <c r="J585" s="53">
        <f>COUNTIFS(H$2:H585, H585)-1</f>
        <v>16</v>
      </c>
      <c r="K585" s="42" cm="1">
        <f t="array" ref="K585">IF(I585=1,
    J585,
    MAX(IF(H:H=H585, J:J)) - J585
)</f>
        <v>8</v>
      </c>
    </row>
    <row r="586" spans="1:11" x14ac:dyDescent="0.2">
      <c r="A586" s="43" t="s">
        <v>76</v>
      </c>
      <c r="B586" s="44" t="s">
        <v>11</v>
      </c>
      <c r="C586" s="42">
        <f>VLOOKUP(Tabela13[[#This Row],[Origem]],Tabela1[],2,FALSE)</f>
        <v>76</v>
      </c>
      <c r="D586" s="42">
        <f>VLOOKUP(Tabela13[[#This Row],[Destino]],Tabela1[],2,FALSE)</f>
        <v>12</v>
      </c>
      <c r="E586" s="51" t="s">
        <v>607</v>
      </c>
      <c r="F586" s="52" t="s">
        <v>1121</v>
      </c>
      <c r="H586" s="42" t="str">
        <f t="shared" si="18"/>
        <v>Bairro Moinho Preto_Rodoviária</v>
      </c>
      <c r="I586" s="42">
        <f t="shared" si="19"/>
        <v>-1</v>
      </c>
      <c r="J586" s="53">
        <f>COUNTIFS(H$2:H586, H586)-1</f>
        <v>17</v>
      </c>
      <c r="K586" s="42" cm="1">
        <f t="array" ref="K586">IF(I586=1,
    J586,
    MAX(IF(H:H=H586, J:J)) - J586
)</f>
        <v>7</v>
      </c>
    </row>
    <row r="587" spans="1:11" x14ac:dyDescent="0.2">
      <c r="A587" s="43" t="s">
        <v>76</v>
      </c>
      <c r="B587" s="44" t="s">
        <v>11</v>
      </c>
      <c r="C587" s="42">
        <f>VLOOKUP(Tabela13[[#This Row],[Origem]],Tabela1[],2,FALSE)</f>
        <v>76</v>
      </c>
      <c r="D587" s="42">
        <f>VLOOKUP(Tabela13[[#This Row],[Destino]],Tabela1[],2,FALSE)</f>
        <v>12</v>
      </c>
      <c r="E587" s="51" t="s">
        <v>608</v>
      </c>
      <c r="F587" s="52" t="s">
        <v>1122</v>
      </c>
      <c r="H587" s="42" t="str">
        <f t="shared" si="18"/>
        <v>Bairro Moinho Preto_Rodoviária</v>
      </c>
      <c r="I587" s="42">
        <f t="shared" si="19"/>
        <v>-1</v>
      </c>
      <c r="J587" s="53">
        <f>COUNTIFS(H$2:H587, H587)-1</f>
        <v>18</v>
      </c>
      <c r="K587" s="42" cm="1">
        <f t="array" ref="K587">IF(I587=1,
    J587,
    MAX(IF(H:H=H587, J:J)) - J587
)</f>
        <v>6</v>
      </c>
    </row>
    <row r="588" spans="1:11" x14ac:dyDescent="0.2">
      <c r="A588" s="43" t="s">
        <v>76</v>
      </c>
      <c r="B588" s="44" t="s">
        <v>11</v>
      </c>
      <c r="C588" s="42">
        <f>VLOOKUP(Tabela13[[#This Row],[Origem]],Tabela1[],2,FALSE)</f>
        <v>76</v>
      </c>
      <c r="D588" s="42">
        <f>VLOOKUP(Tabela13[[#This Row],[Destino]],Tabela1[],2,FALSE)</f>
        <v>12</v>
      </c>
      <c r="E588" s="51" t="s">
        <v>609</v>
      </c>
      <c r="F588" s="52" t="s">
        <v>1123</v>
      </c>
      <c r="H588" s="42" t="str">
        <f t="shared" si="18"/>
        <v>Bairro Moinho Preto_Rodoviária</v>
      </c>
      <c r="I588" s="42">
        <f t="shared" si="19"/>
        <v>-1</v>
      </c>
      <c r="J588" s="53">
        <f>COUNTIFS(H$2:H588, H588)-1</f>
        <v>19</v>
      </c>
      <c r="K588" s="42" cm="1">
        <f t="array" ref="K588">IF(I588=1,
    J588,
    MAX(IF(H:H=H588, J:J)) - J588
)</f>
        <v>5</v>
      </c>
    </row>
    <row r="589" spans="1:11" x14ac:dyDescent="0.2">
      <c r="A589" s="43" t="s">
        <v>76</v>
      </c>
      <c r="B589" s="44" t="s">
        <v>11</v>
      </c>
      <c r="C589" s="42">
        <f>VLOOKUP(Tabela13[[#This Row],[Origem]],Tabela1[],2,FALSE)</f>
        <v>76</v>
      </c>
      <c r="D589" s="42">
        <f>VLOOKUP(Tabela13[[#This Row],[Destino]],Tabela1[],2,FALSE)</f>
        <v>12</v>
      </c>
      <c r="E589" s="51" t="s">
        <v>610</v>
      </c>
      <c r="F589" s="52" t="s">
        <v>1124</v>
      </c>
      <c r="H589" s="42" t="str">
        <f t="shared" si="18"/>
        <v>Bairro Moinho Preto_Rodoviária</v>
      </c>
      <c r="I589" s="42">
        <f t="shared" si="19"/>
        <v>-1</v>
      </c>
      <c r="J589" s="53">
        <f>COUNTIFS(H$2:H589, H589)-1</f>
        <v>20</v>
      </c>
      <c r="K589" s="42" cm="1">
        <f t="array" ref="K589">IF(I589=1,
    J589,
    MAX(IF(H:H=H589, J:J)) - J589
)</f>
        <v>4</v>
      </c>
    </row>
    <row r="590" spans="1:11" x14ac:dyDescent="0.2">
      <c r="A590" s="43" t="s">
        <v>76</v>
      </c>
      <c r="B590" s="44" t="s">
        <v>11</v>
      </c>
      <c r="C590" s="42">
        <f>VLOOKUP(Tabela13[[#This Row],[Origem]],Tabela1[],2,FALSE)</f>
        <v>76</v>
      </c>
      <c r="D590" s="42">
        <f>VLOOKUP(Tabela13[[#This Row],[Destino]],Tabela1[],2,FALSE)</f>
        <v>12</v>
      </c>
      <c r="E590" s="51" t="s">
        <v>611</v>
      </c>
      <c r="F590" s="52" t="s">
        <v>1125</v>
      </c>
      <c r="H590" s="42" t="str">
        <f t="shared" si="18"/>
        <v>Bairro Moinho Preto_Rodoviária</v>
      </c>
      <c r="I590" s="42">
        <f t="shared" si="19"/>
        <v>-1</v>
      </c>
      <c r="J590" s="53">
        <f>COUNTIFS(H$2:H590, H590)-1</f>
        <v>21</v>
      </c>
      <c r="K590" s="42" cm="1">
        <f t="array" ref="K590">IF(I590=1,
    J590,
    MAX(IF(H:H=H590, J:J)) - J590
)</f>
        <v>3</v>
      </c>
    </row>
    <row r="591" spans="1:11" x14ac:dyDescent="0.2">
      <c r="A591" s="43" t="s">
        <v>76</v>
      </c>
      <c r="B591" s="44" t="s">
        <v>11</v>
      </c>
      <c r="C591" s="42">
        <f>VLOOKUP(Tabela13[[#This Row],[Origem]],Tabela1[],2,FALSE)</f>
        <v>76</v>
      </c>
      <c r="D591" s="42">
        <f>VLOOKUP(Tabela13[[#This Row],[Destino]],Tabela1[],2,FALSE)</f>
        <v>12</v>
      </c>
      <c r="E591" s="51" t="s">
        <v>612</v>
      </c>
      <c r="F591" s="52" t="s">
        <v>1126</v>
      </c>
      <c r="H591" s="42" t="str">
        <f t="shared" si="18"/>
        <v>Bairro Moinho Preto_Rodoviária</v>
      </c>
      <c r="I591" s="42">
        <f t="shared" si="19"/>
        <v>-1</v>
      </c>
      <c r="J591" s="53">
        <f>COUNTIFS(H$2:H591, H591)-1</f>
        <v>22</v>
      </c>
      <c r="K591" s="42" cm="1">
        <f t="array" ref="K591">IF(I591=1,
    J591,
    MAX(IF(H:H=H591, J:J)) - J591
)</f>
        <v>2</v>
      </c>
    </row>
    <row r="592" spans="1:11" x14ac:dyDescent="0.2">
      <c r="A592" s="43" t="s">
        <v>76</v>
      </c>
      <c r="B592" s="44" t="s">
        <v>11</v>
      </c>
      <c r="C592" s="42">
        <f>VLOOKUP(Tabela13[[#This Row],[Origem]],Tabela1[],2,FALSE)</f>
        <v>76</v>
      </c>
      <c r="D592" s="42">
        <f>VLOOKUP(Tabela13[[#This Row],[Destino]],Tabela1[],2,FALSE)</f>
        <v>12</v>
      </c>
      <c r="E592" s="51" t="s">
        <v>613</v>
      </c>
      <c r="F592" s="52" t="s">
        <v>1127</v>
      </c>
      <c r="H592" s="42" t="str">
        <f t="shared" si="18"/>
        <v>Bairro Moinho Preto_Rodoviária</v>
      </c>
      <c r="I592" s="42">
        <f t="shared" si="19"/>
        <v>-1</v>
      </c>
      <c r="J592" s="53">
        <f>COUNTIFS(H$2:H592, H592)-1</f>
        <v>23</v>
      </c>
      <c r="K592" s="42" cm="1">
        <f t="array" ref="K592">IF(I592=1,
    J592,
    MAX(IF(H:H=H592, J:J)) - J592
)</f>
        <v>1</v>
      </c>
    </row>
    <row r="593" spans="1:11" x14ac:dyDescent="0.2">
      <c r="A593" s="43" t="s">
        <v>76</v>
      </c>
      <c r="B593" s="44" t="s">
        <v>11</v>
      </c>
      <c r="C593" s="42">
        <f>VLOOKUP(Tabela13[[#This Row],[Origem]],Tabela1[],2,FALSE)</f>
        <v>76</v>
      </c>
      <c r="D593" s="42">
        <f>VLOOKUP(Tabela13[[#This Row],[Destino]],Tabela1[],2,FALSE)</f>
        <v>12</v>
      </c>
      <c r="E593" s="51" t="s">
        <v>614</v>
      </c>
      <c r="F593" s="52" t="s">
        <v>1128</v>
      </c>
      <c r="H593" s="42" t="str">
        <f t="shared" si="18"/>
        <v>Bairro Moinho Preto_Rodoviária</v>
      </c>
      <c r="I593" s="42">
        <f t="shared" si="19"/>
        <v>-1</v>
      </c>
      <c r="J593" s="53">
        <f>COUNTIFS(H$2:H593, H593)-1</f>
        <v>24</v>
      </c>
      <c r="K593" s="42" cm="1">
        <f t="array" ref="K593">IF(I593=1,
    J593,
    MAX(IF(H:H=H593, J:J)) - J593
)</f>
        <v>0</v>
      </c>
    </row>
    <row r="594" spans="1:11" x14ac:dyDescent="0.2">
      <c r="A594" s="43" t="s">
        <v>76</v>
      </c>
      <c r="B594" s="44" t="s">
        <v>9</v>
      </c>
      <c r="C594" s="42">
        <f>VLOOKUP(Tabela13[[#This Row],[Origem]],Tabela1[],2,FALSE)</f>
        <v>76</v>
      </c>
      <c r="D594" s="42">
        <f>VLOOKUP(Tabela13[[#This Row],[Destino]],Tabela1[],2,FALSE)</f>
        <v>10</v>
      </c>
      <c r="E594" s="51" t="s">
        <v>615</v>
      </c>
      <c r="F594" s="52" t="s">
        <v>1129</v>
      </c>
      <c r="H594" s="42" t="str">
        <f t="shared" si="18"/>
        <v>Bairro Capela_Rodoviária</v>
      </c>
      <c r="I594" s="42">
        <f t="shared" si="19"/>
        <v>-1</v>
      </c>
      <c r="J594" s="53">
        <f>COUNTIFS(H$2:H594, H594)-1</f>
        <v>0</v>
      </c>
      <c r="K594" s="42" cm="1">
        <f t="array" ref="K594">IF(I594=1,
    J594,
    MAX(IF(H:H=H594, J:J)) - J594
)</f>
        <v>2</v>
      </c>
    </row>
    <row r="595" spans="1:11" x14ac:dyDescent="0.2">
      <c r="A595" s="43" t="s">
        <v>76</v>
      </c>
      <c r="B595" s="44" t="s">
        <v>9</v>
      </c>
      <c r="C595" s="42">
        <f>VLOOKUP(Tabela13[[#This Row],[Origem]],Tabela1[],2,FALSE)</f>
        <v>76</v>
      </c>
      <c r="D595" s="42">
        <f>VLOOKUP(Tabela13[[#This Row],[Destino]],Tabela1[],2,FALSE)</f>
        <v>10</v>
      </c>
      <c r="E595" s="51" t="s">
        <v>616</v>
      </c>
      <c r="F595" s="52" t="s">
        <v>1130</v>
      </c>
      <c r="H595" s="42" t="str">
        <f t="shared" si="18"/>
        <v>Bairro Capela_Rodoviária</v>
      </c>
      <c r="I595" s="42">
        <f t="shared" si="19"/>
        <v>-1</v>
      </c>
      <c r="J595" s="53">
        <f>COUNTIFS(H$2:H595, H595)-1</f>
        <v>1</v>
      </c>
      <c r="K595" s="42" cm="1">
        <f t="array" ref="K595">IF(I595=1,
    J595,
    MAX(IF(H:H=H595, J:J)) - J595
)</f>
        <v>1</v>
      </c>
    </row>
    <row r="596" spans="1:11" x14ac:dyDescent="0.2">
      <c r="A596" s="43" t="s">
        <v>76</v>
      </c>
      <c r="B596" s="44" t="s">
        <v>9</v>
      </c>
      <c r="C596" s="42">
        <f>VLOOKUP(Tabela13[[#This Row],[Origem]],Tabela1[],2,FALSE)</f>
        <v>76</v>
      </c>
      <c r="D596" s="42">
        <f>VLOOKUP(Tabela13[[#This Row],[Destino]],Tabela1[],2,FALSE)</f>
        <v>10</v>
      </c>
      <c r="E596" s="51" t="s">
        <v>617</v>
      </c>
      <c r="F596" s="52" t="s">
        <v>1131</v>
      </c>
      <c r="H596" s="42" t="str">
        <f t="shared" si="18"/>
        <v>Bairro Capela_Rodoviária</v>
      </c>
      <c r="I596" s="42">
        <f t="shared" si="19"/>
        <v>-1</v>
      </c>
      <c r="J596" s="53">
        <f>COUNTIFS(H$2:H596, H596)-1</f>
        <v>2</v>
      </c>
      <c r="K596" s="42" cm="1">
        <f t="array" ref="K596">IF(I596=1,
    J596,
    MAX(IF(H:H=H596, J:J)) - J596
)</f>
        <v>0</v>
      </c>
    </row>
    <row r="597" spans="1:11" x14ac:dyDescent="0.2">
      <c r="A597" s="43" t="s">
        <v>77</v>
      </c>
      <c r="B597" s="44" t="s">
        <v>16</v>
      </c>
      <c r="C597" s="42">
        <f>VLOOKUP(Tabela13[[#This Row],[Origem]],Tabela1[],2,FALSE)</f>
        <v>77</v>
      </c>
      <c r="D597" s="42">
        <f>VLOOKUP(Tabela13[[#This Row],[Destino]],Tabela1[],2,FALSE)</f>
        <v>3</v>
      </c>
      <c r="E597" s="51" t="s">
        <v>196</v>
      </c>
      <c r="F597" s="52" t="s">
        <v>709</v>
      </c>
      <c r="H597" s="42" t="str">
        <f t="shared" si="18"/>
        <v>Avenida Barão do Rio Branco_Rua 13 de Maio</v>
      </c>
      <c r="I597" s="42">
        <f t="shared" si="19"/>
        <v>-1</v>
      </c>
      <c r="J597" s="53">
        <f>COUNTIFS(H$2:H597, H597)-1</f>
        <v>2</v>
      </c>
      <c r="K597" s="42" cm="1">
        <f t="array" ref="K597">IF(I597=1,
    J597,
    MAX(IF(H:H=H597, J:J)) - J597
)</f>
        <v>1</v>
      </c>
    </row>
    <row r="598" spans="1:11" x14ac:dyDescent="0.2">
      <c r="A598" s="43" t="s">
        <v>77</v>
      </c>
      <c r="B598" s="44" t="s">
        <v>16</v>
      </c>
      <c r="C598" s="42">
        <f>VLOOKUP(Tabela13[[#This Row],[Origem]],Tabela1[],2,FALSE)</f>
        <v>77</v>
      </c>
      <c r="D598" s="42">
        <f>VLOOKUP(Tabela13[[#This Row],[Destino]],Tabela1[],2,FALSE)</f>
        <v>3</v>
      </c>
      <c r="E598" s="51" t="s">
        <v>197</v>
      </c>
      <c r="F598" s="52" t="s">
        <v>710</v>
      </c>
      <c r="H598" s="42" t="str">
        <f t="shared" si="18"/>
        <v>Avenida Barão do Rio Branco_Rua 13 de Maio</v>
      </c>
      <c r="I598" s="42">
        <f t="shared" si="19"/>
        <v>-1</v>
      </c>
      <c r="J598" s="53">
        <f>COUNTIFS(H$2:H598, H598)-1</f>
        <v>3</v>
      </c>
      <c r="K598" s="42" cm="1">
        <f t="array" ref="K598">IF(I598=1,
    J598,
    MAX(IF(H:H=H598, J:J)) - J598
)</f>
        <v>0</v>
      </c>
    </row>
    <row r="599" spans="1:11" hidden="1" x14ac:dyDescent="0.2">
      <c r="A599" s="43" t="s">
        <v>77</v>
      </c>
      <c r="B599" s="44" t="s">
        <v>23</v>
      </c>
      <c r="C599" s="42">
        <f>VLOOKUP(Tabela13[[#This Row],[Origem]],Tabela1[],2,FALSE)</f>
        <v>77</v>
      </c>
      <c r="D599" s="42">
        <f>VLOOKUP(Tabela13[[#This Row],[Destino]],Tabela1[],2,FALSE)</f>
        <v>23</v>
      </c>
      <c r="E599" s="51" t="s">
        <v>188</v>
      </c>
      <c r="F599" s="52" t="s">
        <v>189</v>
      </c>
      <c r="H599" s="42" t="str">
        <f t="shared" si="18"/>
        <v>Catedral_Rua 13 de Maio</v>
      </c>
      <c r="I599" s="42">
        <f t="shared" si="19"/>
        <v>-1</v>
      </c>
      <c r="J599" s="53">
        <f>COUNTIFS(H$2:H599, H599)-1</f>
        <v>0</v>
      </c>
      <c r="K599" s="42" cm="1">
        <f t="array" ref="K599">IF(I599=1,
    J599,
    MAX(IF(H:H=H599, J:J)) - J599
)</f>
        <v>0</v>
      </c>
    </row>
    <row r="600" spans="1:11" x14ac:dyDescent="0.2">
      <c r="A600" s="43" t="s">
        <v>78</v>
      </c>
      <c r="B600" s="44" t="s">
        <v>68</v>
      </c>
      <c r="C600" s="42">
        <f>VLOOKUP(Tabela13[[#This Row],[Origem]],Tabela1[],2,FALSE)</f>
        <v>78</v>
      </c>
      <c r="D600" s="42">
        <f>VLOOKUP(Tabela13[[#This Row],[Destino]],Tabela1[],2,FALSE)</f>
        <v>68</v>
      </c>
      <c r="E600" s="51" t="s">
        <v>559</v>
      </c>
      <c r="F600" s="52" t="s">
        <v>1072</v>
      </c>
      <c r="H600" s="42" t="str">
        <f t="shared" si="18"/>
        <v>Praça Pasteur_Rua 24 de Maio</v>
      </c>
      <c r="I600" s="42">
        <f t="shared" si="19"/>
        <v>-1</v>
      </c>
      <c r="J600" s="53">
        <f>COUNTIFS(H$2:H600, H600)-1</f>
        <v>16</v>
      </c>
      <c r="K600" s="42" cm="1">
        <f t="array" ref="K600">IF(I600=1,
    J600,
    MAX(IF(H:H=H600, J:J)) - J600
)</f>
        <v>15</v>
      </c>
    </row>
    <row r="601" spans="1:11" x14ac:dyDescent="0.2">
      <c r="A601" s="43" t="s">
        <v>78</v>
      </c>
      <c r="B601" s="44" t="s">
        <v>68</v>
      </c>
      <c r="C601" s="42">
        <f>VLOOKUP(Tabela13[[#This Row],[Origem]],Tabela1[],2,FALSE)</f>
        <v>78</v>
      </c>
      <c r="D601" s="42">
        <f>VLOOKUP(Tabela13[[#This Row],[Destino]],Tabela1[],2,FALSE)</f>
        <v>68</v>
      </c>
      <c r="E601" s="51" t="s">
        <v>560</v>
      </c>
      <c r="F601" s="52" t="s">
        <v>1073</v>
      </c>
      <c r="H601" s="42" t="str">
        <f t="shared" si="18"/>
        <v>Praça Pasteur_Rua 24 de Maio</v>
      </c>
      <c r="I601" s="42">
        <f t="shared" si="19"/>
        <v>-1</v>
      </c>
      <c r="J601" s="53">
        <f>COUNTIFS(H$2:H601, H601)-1</f>
        <v>17</v>
      </c>
      <c r="K601" s="42" cm="1">
        <f t="array" ref="K601">IF(I601=1,
    J601,
    MAX(IF(H:H=H601, J:J)) - J601
)</f>
        <v>14</v>
      </c>
    </row>
    <row r="602" spans="1:11" x14ac:dyDescent="0.2">
      <c r="A602" s="43" t="s">
        <v>78</v>
      </c>
      <c r="B602" s="44" t="s">
        <v>68</v>
      </c>
      <c r="C602" s="42">
        <f>VLOOKUP(Tabela13[[#This Row],[Origem]],Tabela1[],2,FALSE)</f>
        <v>78</v>
      </c>
      <c r="D602" s="42">
        <f>VLOOKUP(Tabela13[[#This Row],[Destino]],Tabela1[],2,FALSE)</f>
        <v>68</v>
      </c>
      <c r="E602" s="51" t="s">
        <v>561</v>
      </c>
      <c r="F602" s="52" t="s">
        <v>1074</v>
      </c>
      <c r="H602" s="42" t="str">
        <f t="shared" si="18"/>
        <v>Praça Pasteur_Rua 24 de Maio</v>
      </c>
      <c r="I602" s="42">
        <f t="shared" si="19"/>
        <v>-1</v>
      </c>
      <c r="J602" s="53">
        <f>COUNTIFS(H$2:H602, H602)-1</f>
        <v>18</v>
      </c>
      <c r="K602" s="42" cm="1">
        <f t="array" ref="K602">IF(I602=1,
    J602,
    MAX(IF(H:H=H602, J:J)) - J602
)</f>
        <v>13</v>
      </c>
    </row>
    <row r="603" spans="1:11" x14ac:dyDescent="0.2">
      <c r="A603" s="43" t="s">
        <v>78</v>
      </c>
      <c r="B603" s="44" t="s">
        <v>68</v>
      </c>
      <c r="C603" s="42">
        <f>VLOOKUP(Tabela13[[#This Row],[Origem]],Tabela1[],2,FALSE)</f>
        <v>78</v>
      </c>
      <c r="D603" s="42">
        <f>VLOOKUP(Tabela13[[#This Row],[Destino]],Tabela1[],2,FALSE)</f>
        <v>68</v>
      </c>
      <c r="E603" s="51" t="s">
        <v>562</v>
      </c>
      <c r="F603" s="52" t="s">
        <v>1075</v>
      </c>
      <c r="H603" s="42" t="str">
        <f t="shared" si="18"/>
        <v>Praça Pasteur_Rua 24 de Maio</v>
      </c>
      <c r="I603" s="42">
        <f t="shared" si="19"/>
        <v>-1</v>
      </c>
      <c r="J603" s="53">
        <f>COUNTIFS(H$2:H603, H603)-1</f>
        <v>19</v>
      </c>
      <c r="K603" s="42" cm="1">
        <f t="array" ref="K603">IF(I603=1,
    J603,
    MAX(IF(H:H=H603, J:J)) - J603
)</f>
        <v>12</v>
      </c>
    </row>
    <row r="604" spans="1:11" x14ac:dyDescent="0.2">
      <c r="A604" s="43" t="s">
        <v>78</v>
      </c>
      <c r="B604" s="44" t="s">
        <v>68</v>
      </c>
      <c r="C604" s="42">
        <f>VLOOKUP(Tabela13[[#This Row],[Origem]],Tabela1[],2,FALSE)</f>
        <v>78</v>
      </c>
      <c r="D604" s="42">
        <f>VLOOKUP(Tabela13[[#This Row],[Destino]],Tabela1[],2,FALSE)</f>
        <v>68</v>
      </c>
      <c r="E604" s="51" t="s">
        <v>563</v>
      </c>
      <c r="F604" s="52" t="s">
        <v>1076</v>
      </c>
      <c r="H604" s="42" t="str">
        <f t="shared" si="18"/>
        <v>Praça Pasteur_Rua 24 de Maio</v>
      </c>
      <c r="I604" s="42">
        <f t="shared" si="19"/>
        <v>-1</v>
      </c>
      <c r="J604" s="53">
        <f>COUNTIFS(H$2:H604, H604)-1</f>
        <v>20</v>
      </c>
      <c r="K604" s="42" cm="1">
        <f t="array" ref="K604">IF(I604=1,
    J604,
    MAX(IF(H:H=H604, J:J)) - J604
)</f>
        <v>11</v>
      </c>
    </row>
    <row r="605" spans="1:11" x14ac:dyDescent="0.2">
      <c r="A605" s="43" t="s">
        <v>78</v>
      </c>
      <c r="B605" s="44" t="s">
        <v>68</v>
      </c>
      <c r="C605" s="42">
        <f>VLOOKUP(Tabela13[[#This Row],[Origem]],Tabela1[],2,FALSE)</f>
        <v>78</v>
      </c>
      <c r="D605" s="42">
        <f>VLOOKUP(Tabela13[[#This Row],[Destino]],Tabela1[],2,FALSE)</f>
        <v>68</v>
      </c>
      <c r="E605" s="51" t="s">
        <v>564</v>
      </c>
      <c r="F605" s="52" t="s">
        <v>1077</v>
      </c>
      <c r="H605" s="42" t="str">
        <f t="shared" si="18"/>
        <v>Praça Pasteur_Rua 24 de Maio</v>
      </c>
      <c r="I605" s="42">
        <f t="shared" si="19"/>
        <v>-1</v>
      </c>
      <c r="J605" s="53">
        <f>COUNTIFS(H$2:H605, H605)-1</f>
        <v>21</v>
      </c>
      <c r="K605" s="42" cm="1">
        <f t="array" ref="K605">IF(I605=1,
    J605,
    MAX(IF(H:H=H605, J:J)) - J605
)</f>
        <v>10</v>
      </c>
    </row>
    <row r="606" spans="1:11" x14ac:dyDescent="0.2">
      <c r="A606" s="43" t="s">
        <v>78</v>
      </c>
      <c r="B606" s="44" t="s">
        <v>68</v>
      </c>
      <c r="C606" s="42">
        <f>VLOOKUP(Tabela13[[#This Row],[Origem]],Tabela1[],2,FALSE)</f>
        <v>78</v>
      </c>
      <c r="D606" s="42">
        <f>VLOOKUP(Tabela13[[#This Row],[Destino]],Tabela1[],2,FALSE)</f>
        <v>68</v>
      </c>
      <c r="E606" s="51" t="s">
        <v>565</v>
      </c>
      <c r="F606" s="52" t="s">
        <v>1078</v>
      </c>
      <c r="H606" s="42" t="str">
        <f t="shared" si="18"/>
        <v>Praça Pasteur_Rua 24 de Maio</v>
      </c>
      <c r="I606" s="42">
        <f t="shared" si="19"/>
        <v>-1</v>
      </c>
      <c r="J606" s="53">
        <f>COUNTIFS(H$2:H606, H606)-1</f>
        <v>22</v>
      </c>
      <c r="K606" s="42" cm="1">
        <f t="array" ref="K606">IF(I606=1,
    J606,
    MAX(IF(H:H=H606, J:J)) - J606
)</f>
        <v>9</v>
      </c>
    </row>
    <row r="607" spans="1:11" x14ac:dyDescent="0.2">
      <c r="A607" s="43" t="s">
        <v>78</v>
      </c>
      <c r="B607" s="44" t="s">
        <v>68</v>
      </c>
      <c r="C607" s="42">
        <f>VLOOKUP(Tabela13[[#This Row],[Origem]],Tabela1[],2,FALSE)</f>
        <v>78</v>
      </c>
      <c r="D607" s="42">
        <f>VLOOKUP(Tabela13[[#This Row],[Destino]],Tabela1[],2,FALSE)</f>
        <v>68</v>
      </c>
      <c r="E607" s="51" t="s">
        <v>566</v>
      </c>
      <c r="F607" s="52" t="s">
        <v>1079</v>
      </c>
      <c r="H607" s="42" t="str">
        <f t="shared" si="18"/>
        <v>Praça Pasteur_Rua 24 de Maio</v>
      </c>
      <c r="I607" s="42">
        <f t="shared" si="19"/>
        <v>-1</v>
      </c>
      <c r="J607" s="53">
        <f>COUNTIFS(H$2:H607, H607)-1</f>
        <v>23</v>
      </c>
      <c r="K607" s="42" cm="1">
        <f t="array" ref="K607">IF(I607=1,
    J607,
    MAX(IF(H:H=H607, J:J)) - J607
)</f>
        <v>8</v>
      </c>
    </row>
    <row r="608" spans="1:11" x14ac:dyDescent="0.2">
      <c r="A608" s="43" t="s">
        <v>78</v>
      </c>
      <c r="B608" s="44" t="s">
        <v>68</v>
      </c>
      <c r="C608" s="42">
        <f>VLOOKUP(Tabela13[[#This Row],[Origem]],Tabela1[],2,FALSE)</f>
        <v>78</v>
      </c>
      <c r="D608" s="42">
        <f>VLOOKUP(Tabela13[[#This Row],[Destino]],Tabela1[],2,FALSE)</f>
        <v>68</v>
      </c>
      <c r="E608" s="51" t="s">
        <v>567</v>
      </c>
      <c r="F608" s="52" t="s">
        <v>1080</v>
      </c>
      <c r="H608" s="42" t="str">
        <f t="shared" si="18"/>
        <v>Praça Pasteur_Rua 24 de Maio</v>
      </c>
      <c r="I608" s="42">
        <f t="shared" si="19"/>
        <v>-1</v>
      </c>
      <c r="J608" s="53">
        <f>COUNTIFS(H$2:H608, H608)-1</f>
        <v>24</v>
      </c>
      <c r="K608" s="42" cm="1">
        <f t="array" ref="K608">IF(I608=1,
    J608,
    MAX(IF(H:H=H608, J:J)) - J608
)</f>
        <v>7</v>
      </c>
    </row>
    <row r="609" spans="1:11" x14ac:dyDescent="0.2">
      <c r="A609" s="43" t="s">
        <v>78</v>
      </c>
      <c r="B609" s="44" t="s">
        <v>68</v>
      </c>
      <c r="C609" s="42">
        <f>VLOOKUP(Tabela13[[#This Row],[Origem]],Tabela1[],2,FALSE)</f>
        <v>78</v>
      </c>
      <c r="D609" s="42">
        <f>VLOOKUP(Tabela13[[#This Row],[Destino]],Tabela1[],2,FALSE)</f>
        <v>68</v>
      </c>
      <c r="E609" s="51" t="s">
        <v>568</v>
      </c>
      <c r="F609" s="52" t="s">
        <v>1081</v>
      </c>
      <c r="H609" s="42" t="str">
        <f t="shared" si="18"/>
        <v>Praça Pasteur_Rua 24 de Maio</v>
      </c>
      <c r="I609" s="42">
        <f t="shared" si="19"/>
        <v>-1</v>
      </c>
      <c r="J609" s="53">
        <f>COUNTIFS(H$2:H609, H609)-1</f>
        <v>25</v>
      </c>
      <c r="K609" s="42" cm="1">
        <f t="array" ref="K609">IF(I609=1,
    J609,
    MAX(IF(H:H=H609, J:J)) - J609
)</f>
        <v>6</v>
      </c>
    </row>
    <row r="610" spans="1:11" x14ac:dyDescent="0.2">
      <c r="A610" s="43" t="s">
        <v>78</v>
      </c>
      <c r="B610" s="44" t="s">
        <v>68</v>
      </c>
      <c r="C610" s="42">
        <f>VLOOKUP(Tabela13[[#This Row],[Origem]],Tabela1[],2,FALSE)</f>
        <v>78</v>
      </c>
      <c r="D610" s="42">
        <f>VLOOKUP(Tabela13[[#This Row],[Destino]],Tabela1[],2,FALSE)</f>
        <v>68</v>
      </c>
      <c r="E610" s="51" t="s">
        <v>569</v>
      </c>
      <c r="F610" s="52" t="s">
        <v>1082</v>
      </c>
      <c r="H610" s="42" t="str">
        <f t="shared" si="18"/>
        <v>Praça Pasteur_Rua 24 de Maio</v>
      </c>
      <c r="I610" s="42">
        <f t="shared" si="19"/>
        <v>-1</v>
      </c>
      <c r="J610" s="53">
        <f>COUNTIFS(H$2:H610, H610)-1</f>
        <v>26</v>
      </c>
      <c r="K610" s="42" cm="1">
        <f t="array" ref="K610">IF(I610=1,
    J610,
    MAX(IF(H:H=H610, J:J)) - J610
)</f>
        <v>5</v>
      </c>
    </row>
    <row r="611" spans="1:11" x14ac:dyDescent="0.2">
      <c r="A611" s="43" t="s">
        <v>78</v>
      </c>
      <c r="B611" s="44" t="s">
        <v>68</v>
      </c>
      <c r="C611" s="42">
        <f>VLOOKUP(Tabela13[[#This Row],[Origem]],Tabela1[],2,FALSE)</f>
        <v>78</v>
      </c>
      <c r="D611" s="42">
        <f>VLOOKUP(Tabela13[[#This Row],[Destino]],Tabela1[],2,FALSE)</f>
        <v>68</v>
      </c>
      <c r="E611" s="51" t="s">
        <v>570</v>
      </c>
      <c r="F611" s="52" t="s">
        <v>1083</v>
      </c>
      <c r="H611" s="42" t="str">
        <f t="shared" si="18"/>
        <v>Praça Pasteur_Rua 24 de Maio</v>
      </c>
      <c r="I611" s="42">
        <f t="shared" si="19"/>
        <v>-1</v>
      </c>
      <c r="J611" s="53">
        <f>COUNTIFS(H$2:H611, H611)-1</f>
        <v>27</v>
      </c>
      <c r="K611" s="42" cm="1">
        <f t="array" ref="K611">IF(I611=1,
    J611,
    MAX(IF(H:H=H611, J:J)) - J611
)</f>
        <v>4</v>
      </c>
    </row>
    <row r="612" spans="1:11" x14ac:dyDescent="0.2">
      <c r="A612" s="43" t="s">
        <v>78</v>
      </c>
      <c r="B612" s="44" t="s">
        <v>68</v>
      </c>
      <c r="C612" s="42">
        <f>VLOOKUP(Tabela13[[#This Row],[Origem]],Tabela1[],2,FALSE)</f>
        <v>78</v>
      </c>
      <c r="D612" s="42">
        <f>VLOOKUP(Tabela13[[#This Row],[Destino]],Tabela1[],2,FALSE)</f>
        <v>68</v>
      </c>
      <c r="E612" s="51" t="s">
        <v>571</v>
      </c>
      <c r="F612" s="52" t="s">
        <v>1084</v>
      </c>
      <c r="H612" s="42" t="str">
        <f t="shared" si="18"/>
        <v>Praça Pasteur_Rua 24 de Maio</v>
      </c>
      <c r="I612" s="42">
        <f t="shared" si="19"/>
        <v>-1</v>
      </c>
      <c r="J612" s="53">
        <f>COUNTIFS(H$2:H612, H612)-1</f>
        <v>28</v>
      </c>
      <c r="K612" s="42" cm="1">
        <f t="array" ref="K612">IF(I612=1,
    J612,
    MAX(IF(H:H=H612, J:J)) - J612
)</f>
        <v>3</v>
      </c>
    </row>
    <row r="613" spans="1:11" x14ac:dyDescent="0.2">
      <c r="A613" s="43" t="s">
        <v>78</v>
      </c>
      <c r="B613" s="44" t="s">
        <v>68</v>
      </c>
      <c r="C613" s="42">
        <f>VLOOKUP(Tabela13[[#This Row],[Origem]],Tabela1[],2,FALSE)</f>
        <v>78</v>
      </c>
      <c r="D613" s="42">
        <f>VLOOKUP(Tabela13[[#This Row],[Destino]],Tabela1[],2,FALSE)</f>
        <v>68</v>
      </c>
      <c r="E613" s="51" t="s">
        <v>572</v>
      </c>
      <c r="F613" s="52" t="s">
        <v>1085</v>
      </c>
      <c r="H613" s="42" t="str">
        <f t="shared" si="18"/>
        <v>Praça Pasteur_Rua 24 de Maio</v>
      </c>
      <c r="I613" s="42">
        <f t="shared" si="19"/>
        <v>-1</v>
      </c>
      <c r="J613" s="53">
        <f>COUNTIFS(H$2:H613, H613)-1</f>
        <v>29</v>
      </c>
      <c r="K613" s="42" cm="1">
        <f t="array" ref="K613">IF(I613=1,
    J613,
    MAX(IF(H:H=H613, J:J)) - J613
)</f>
        <v>2</v>
      </c>
    </row>
    <row r="614" spans="1:11" x14ac:dyDescent="0.2">
      <c r="A614" s="43" t="s">
        <v>78</v>
      </c>
      <c r="B614" s="44" t="s">
        <v>68</v>
      </c>
      <c r="C614" s="42">
        <f>VLOOKUP(Tabela13[[#This Row],[Origem]],Tabela1[],2,FALSE)</f>
        <v>78</v>
      </c>
      <c r="D614" s="42">
        <f>VLOOKUP(Tabela13[[#This Row],[Destino]],Tabela1[],2,FALSE)</f>
        <v>68</v>
      </c>
      <c r="E614" s="51" t="s">
        <v>573</v>
      </c>
      <c r="F614" s="52" t="s">
        <v>1086</v>
      </c>
      <c r="H614" s="42" t="str">
        <f t="shared" si="18"/>
        <v>Praça Pasteur_Rua 24 de Maio</v>
      </c>
      <c r="I614" s="42">
        <f t="shared" si="19"/>
        <v>-1</v>
      </c>
      <c r="J614" s="53">
        <f>COUNTIFS(H$2:H614, H614)-1</f>
        <v>30</v>
      </c>
      <c r="K614" s="42" cm="1">
        <f t="array" ref="K614">IF(I614=1,
    J614,
    MAX(IF(H:H=H614, J:J)) - J614
)</f>
        <v>1</v>
      </c>
    </row>
    <row r="615" spans="1:11" x14ac:dyDescent="0.2">
      <c r="A615" s="43" t="s">
        <v>78</v>
      </c>
      <c r="B615" s="44" t="s">
        <v>68</v>
      </c>
      <c r="C615" s="42">
        <f>VLOOKUP(Tabela13[[#This Row],[Origem]],Tabela1[],2,FALSE)</f>
        <v>78</v>
      </c>
      <c r="D615" s="42">
        <f>VLOOKUP(Tabela13[[#This Row],[Destino]],Tabela1[],2,FALSE)</f>
        <v>68</v>
      </c>
      <c r="E615" s="51" t="s">
        <v>574</v>
      </c>
      <c r="F615" s="52" t="s">
        <v>1087</v>
      </c>
      <c r="H615" s="42" t="str">
        <f t="shared" si="18"/>
        <v>Praça Pasteur_Rua 24 de Maio</v>
      </c>
      <c r="I615" s="42">
        <f t="shared" si="19"/>
        <v>-1</v>
      </c>
      <c r="J615" s="53">
        <f>COUNTIFS(H$2:H615, H615)-1</f>
        <v>31</v>
      </c>
      <c r="K615" s="42" cm="1">
        <f t="array" ref="K615">IF(I615=1,
    J615,
    MAX(IF(H:H=H615, J:J)) - J615
)</f>
        <v>0</v>
      </c>
    </row>
    <row r="616" spans="1:11" x14ac:dyDescent="0.2">
      <c r="A616" s="43" t="s">
        <v>78</v>
      </c>
      <c r="B616" s="44" t="s">
        <v>98</v>
      </c>
      <c r="C616" s="42">
        <f>VLOOKUP(Tabela13[[#This Row],[Origem]],Tabela1[],2,FALSE)</f>
        <v>78</v>
      </c>
      <c r="D616" s="42">
        <f>VLOOKUP(Tabela13[[#This Row],[Destino]],Tabela1[],2,FALSE)</f>
        <v>98</v>
      </c>
      <c r="E616" s="51" t="s">
        <v>618</v>
      </c>
      <c r="F616" s="52" t="s">
        <v>1132</v>
      </c>
      <c r="H616" s="42" t="str">
        <f t="shared" si="18"/>
        <v>Rua 24 de Maio_Shopping Pátio Petrópolis</v>
      </c>
      <c r="I616" s="42">
        <f t="shared" si="19"/>
        <v>1</v>
      </c>
      <c r="J616" s="53">
        <f>COUNTIFS(H$2:H616, H616)-1</f>
        <v>0</v>
      </c>
      <c r="K616" s="42" cm="1">
        <f t="array" ref="K616">IF(I616=1,
    J616,
    MAX(IF(H:H=H616, J:J)) - J616
)</f>
        <v>0</v>
      </c>
    </row>
    <row r="617" spans="1:11" x14ac:dyDescent="0.2">
      <c r="A617" s="43" t="s">
        <v>78</v>
      </c>
      <c r="B617" s="44" t="s">
        <v>98</v>
      </c>
      <c r="C617" s="42">
        <f>VLOOKUP(Tabela13[[#This Row],[Origem]],Tabela1[],2,FALSE)</f>
        <v>78</v>
      </c>
      <c r="D617" s="42">
        <f>VLOOKUP(Tabela13[[#This Row],[Destino]],Tabela1[],2,FALSE)</f>
        <v>98</v>
      </c>
      <c r="E617" s="51" t="s">
        <v>619</v>
      </c>
      <c r="F617" s="52" t="s">
        <v>1133</v>
      </c>
      <c r="H617" s="42" t="str">
        <f t="shared" si="18"/>
        <v>Rua 24 de Maio_Shopping Pátio Petrópolis</v>
      </c>
      <c r="I617" s="42">
        <f t="shared" si="19"/>
        <v>1</v>
      </c>
      <c r="J617" s="53">
        <f>COUNTIFS(H$2:H617, H617)-1</f>
        <v>1</v>
      </c>
      <c r="K617" s="42" cm="1">
        <f t="array" ref="K617">IF(I617=1,
    J617,
    MAX(IF(H:H=H617, J:J)) - J617
)</f>
        <v>1</v>
      </c>
    </row>
    <row r="618" spans="1:11" hidden="1" x14ac:dyDescent="0.2">
      <c r="A618" s="43" t="s">
        <v>78</v>
      </c>
      <c r="B618" s="44" t="s">
        <v>96</v>
      </c>
      <c r="C618" s="42">
        <f>VLOOKUP(Tabela13[[#This Row],[Origem]],Tabela1[],2,FALSE)</f>
        <v>78</v>
      </c>
      <c r="D618" s="42">
        <f>VLOOKUP(Tabela13[[#This Row],[Destino]],Tabela1[],2,FALSE)</f>
        <v>96</v>
      </c>
      <c r="E618" s="51" t="s">
        <v>188</v>
      </c>
      <c r="F618" s="52" t="s">
        <v>189</v>
      </c>
      <c r="H618" s="42" t="str">
        <f t="shared" si="18"/>
        <v>Rua 24 de Maio_Rua Teresa</v>
      </c>
      <c r="I618" s="42">
        <f t="shared" si="19"/>
        <v>1</v>
      </c>
      <c r="J618" s="53">
        <f>COUNTIFS(H$2:H618, H618)-1</f>
        <v>0</v>
      </c>
      <c r="K618" s="42" cm="1">
        <f t="array" ref="K618">IF(I618=1,
    J618,
    MAX(IF(H:H=H618, J:J)) - J618
)</f>
        <v>0</v>
      </c>
    </row>
    <row r="619" spans="1:11" x14ac:dyDescent="0.2">
      <c r="A619" s="43" t="s">
        <v>79</v>
      </c>
      <c r="B619" s="44" t="s">
        <v>3</v>
      </c>
      <c r="C619" s="42">
        <f>VLOOKUP(Tabela13[[#This Row],[Origem]],Tabela1[],2,FALSE)</f>
        <v>79</v>
      </c>
      <c r="D619" s="42">
        <f>VLOOKUP(Tabela13[[#This Row],[Destino]],Tabela1[],2,FALSE)</f>
        <v>4</v>
      </c>
      <c r="E619" s="51" t="s">
        <v>202</v>
      </c>
      <c r="F619" s="52" t="s">
        <v>715</v>
      </c>
      <c r="H619" s="42" t="str">
        <f t="shared" si="18"/>
        <v>Avenida Ipiranga_Rua Alberto Torres</v>
      </c>
      <c r="I619" s="42">
        <f t="shared" si="19"/>
        <v>-1</v>
      </c>
      <c r="J619" s="53">
        <f>COUNTIFS(H$2:H619, H619)-1</f>
        <v>3</v>
      </c>
      <c r="K619" s="42" cm="1">
        <f t="array" ref="K619">IF(I619=1,
    J619,
    MAX(IF(H:H=H619, J:J)) - J619
)</f>
        <v>2</v>
      </c>
    </row>
    <row r="620" spans="1:11" x14ac:dyDescent="0.2">
      <c r="A620" s="43" t="s">
        <v>79</v>
      </c>
      <c r="B620" s="44" t="s">
        <v>3</v>
      </c>
      <c r="C620" s="42">
        <f>VLOOKUP(Tabela13[[#This Row],[Origem]],Tabela1[],2,FALSE)</f>
        <v>79</v>
      </c>
      <c r="D620" s="42">
        <f>VLOOKUP(Tabela13[[#This Row],[Destino]],Tabela1[],2,FALSE)</f>
        <v>4</v>
      </c>
      <c r="E620" s="51" t="s">
        <v>203</v>
      </c>
      <c r="F620" s="52" t="s">
        <v>716</v>
      </c>
      <c r="H620" s="42" t="str">
        <f t="shared" si="18"/>
        <v>Avenida Ipiranga_Rua Alberto Torres</v>
      </c>
      <c r="I620" s="42">
        <f t="shared" si="19"/>
        <v>-1</v>
      </c>
      <c r="J620" s="53">
        <f>COUNTIFS(H$2:H620, H620)-1</f>
        <v>4</v>
      </c>
      <c r="K620" s="42" cm="1">
        <f t="array" ref="K620">IF(I620=1,
    J620,
    MAX(IF(H:H=H620, J:J)) - J620
)</f>
        <v>1</v>
      </c>
    </row>
    <row r="621" spans="1:11" x14ac:dyDescent="0.2">
      <c r="A621" s="43" t="s">
        <v>79</v>
      </c>
      <c r="B621" s="44" t="s">
        <v>3</v>
      </c>
      <c r="C621" s="42">
        <f>VLOOKUP(Tabela13[[#This Row],[Origem]],Tabela1[],2,FALSE)</f>
        <v>79</v>
      </c>
      <c r="D621" s="42">
        <f>VLOOKUP(Tabela13[[#This Row],[Destino]],Tabela1[],2,FALSE)</f>
        <v>4</v>
      </c>
      <c r="E621" s="51" t="s">
        <v>204</v>
      </c>
      <c r="F621" s="52" t="s">
        <v>717</v>
      </c>
      <c r="H621" s="42" t="str">
        <f t="shared" si="18"/>
        <v>Avenida Ipiranga_Rua Alberto Torres</v>
      </c>
      <c r="I621" s="42">
        <f t="shared" si="19"/>
        <v>-1</v>
      </c>
      <c r="J621" s="53">
        <f>COUNTIFS(H$2:H621, H621)-1</f>
        <v>5</v>
      </c>
      <c r="K621" s="42" cm="1">
        <f t="array" ref="K621">IF(I621=1,
    J621,
    MAX(IF(H:H=H621, J:J)) - J621
)</f>
        <v>0</v>
      </c>
    </row>
    <row r="622" spans="1:11" x14ac:dyDescent="0.2">
      <c r="A622" s="43" t="s">
        <v>79</v>
      </c>
      <c r="B622" s="44" t="s">
        <v>19</v>
      </c>
      <c r="C622" s="42">
        <f>VLOOKUP(Tabela13[[#This Row],[Origem]],Tabela1[],2,FALSE)</f>
        <v>79</v>
      </c>
      <c r="D622" s="42">
        <f>VLOOKUP(Tabela13[[#This Row],[Destino]],Tabela1[],2,FALSE)</f>
        <v>19</v>
      </c>
      <c r="E622" s="51" t="s">
        <v>360</v>
      </c>
      <c r="F622" s="52" t="s">
        <v>875</v>
      </c>
      <c r="H622" s="42" t="str">
        <f t="shared" si="18"/>
        <v>Bosque do Imperador_Rua Alberto Torres</v>
      </c>
      <c r="I622" s="42">
        <f t="shared" si="19"/>
        <v>-1</v>
      </c>
      <c r="J622" s="53">
        <f>COUNTIFS(H$2:H622, H622)-1</f>
        <v>1</v>
      </c>
      <c r="K622" s="42" cm="1">
        <f t="array" ref="K622">IF(I622=1,
    J622,
    MAX(IF(H:H=H622, J:J)) - J622
)</f>
        <v>0</v>
      </c>
    </row>
    <row r="623" spans="1:11" x14ac:dyDescent="0.2">
      <c r="A623" s="43" t="s">
        <v>80</v>
      </c>
      <c r="B623" s="44" t="s">
        <v>38</v>
      </c>
      <c r="C623" s="42">
        <f>VLOOKUP(Tabela13[[#This Row],[Origem]],Tabela1[],2,FALSE)</f>
        <v>80</v>
      </c>
      <c r="D623" s="42">
        <f>VLOOKUP(Tabela13[[#This Row],[Destino]],Tabela1[],2,FALSE)</f>
        <v>38</v>
      </c>
      <c r="E623" s="51" t="s">
        <v>620</v>
      </c>
      <c r="F623" s="52" t="s">
        <v>1134</v>
      </c>
      <c r="H623" s="42" t="str">
        <f t="shared" si="18"/>
        <v>Igreja do Rosário_Rua Caldas Viana</v>
      </c>
      <c r="I623" s="42">
        <f t="shared" si="19"/>
        <v>-1</v>
      </c>
      <c r="J623" s="53">
        <f>COUNTIFS(H$2:H623, H623)-1</f>
        <v>0</v>
      </c>
      <c r="K623" s="42" cm="1">
        <f t="array" ref="K623">IF(I623=1,
    J623,
    MAX(IF(H:H=H623, J:J)) - J623
)</f>
        <v>0</v>
      </c>
    </row>
    <row r="624" spans="1:11" hidden="1" x14ac:dyDescent="0.2">
      <c r="A624" s="43" t="s">
        <v>80</v>
      </c>
      <c r="B624" s="44" t="s">
        <v>95</v>
      </c>
      <c r="C624" s="42">
        <f>VLOOKUP(Tabela13[[#This Row],[Origem]],Tabela1[],2,FALSE)</f>
        <v>80</v>
      </c>
      <c r="D624" s="42">
        <f>VLOOKUP(Tabela13[[#This Row],[Destino]],Tabela1[],2,FALSE)</f>
        <v>95</v>
      </c>
      <c r="E624" s="51" t="s">
        <v>188</v>
      </c>
      <c r="F624" s="52" t="s">
        <v>189</v>
      </c>
      <c r="H624" s="42" t="str">
        <f t="shared" si="18"/>
        <v>Rua Caldas Viana_Rua Santos Dumont</v>
      </c>
      <c r="I624" s="42">
        <f t="shared" si="19"/>
        <v>1</v>
      </c>
      <c r="J624" s="53">
        <f>COUNTIFS(H$2:H624, H624)-1</f>
        <v>0</v>
      </c>
      <c r="K624" s="42" cm="1">
        <f t="array" ref="K624">IF(I624=1,
    J624,
    MAX(IF(H:H=H624, J:J)) - J624
)</f>
        <v>0</v>
      </c>
    </row>
    <row r="625" spans="1:11" x14ac:dyDescent="0.2">
      <c r="A625" s="43" t="s">
        <v>81</v>
      </c>
      <c r="B625" s="44" t="s">
        <v>33</v>
      </c>
      <c r="C625" s="42">
        <f>VLOOKUP(Tabela13[[#This Row],[Origem]],Tabela1[],2,FALSE)</f>
        <v>81</v>
      </c>
      <c r="D625" s="42">
        <f>VLOOKUP(Tabela13[[#This Row],[Destino]],Tabela1[],2,FALSE)</f>
        <v>33</v>
      </c>
      <c r="E625" s="51" t="s">
        <v>430</v>
      </c>
      <c r="F625" s="52" t="s">
        <v>942</v>
      </c>
      <c r="H625" s="42" t="str">
        <f t="shared" si="18"/>
        <v>Hiper Shopping_Rua Chile</v>
      </c>
      <c r="I625" s="42">
        <f t="shared" si="19"/>
        <v>-1</v>
      </c>
      <c r="J625" s="53">
        <f>COUNTIFS(H$2:H625, H625)-1</f>
        <v>1</v>
      </c>
      <c r="K625" s="42" cm="1">
        <f t="array" ref="K625">IF(I625=1,
    J625,
    MAX(IF(H:H=H625, J:J)) - J625
)</f>
        <v>0</v>
      </c>
    </row>
    <row r="626" spans="1:11" x14ac:dyDescent="0.2">
      <c r="A626" s="43" t="s">
        <v>81</v>
      </c>
      <c r="B626" s="44" t="s">
        <v>40</v>
      </c>
      <c r="C626" s="42">
        <f>VLOOKUP(Tabela13[[#This Row],[Origem]],Tabela1[],2,FALSE)</f>
        <v>81</v>
      </c>
      <c r="D626" s="42">
        <f>VLOOKUP(Tabela13[[#This Row],[Destino]],Tabela1[],2,FALSE)</f>
        <v>40</v>
      </c>
      <c r="E626" s="51" t="s">
        <v>621</v>
      </c>
      <c r="F626" s="52" t="s">
        <v>1135</v>
      </c>
      <c r="H626" s="42" t="str">
        <f t="shared" si="18"/>
        <v>Igreja Santo Antônio_Rua Chile</v>
      </c>
      <c r="I626" s="42">
        <f t="shared" si="19"/>
        <v>-1</v>
      </c>
      <c r="J626" s="53">
        <f>COUNTIFS(H$2:H626, H626)-1</f>
        <v>0</v>
      </c>
      <c r="K626" s="42" cm="1">
        <f t="array" ref="K626">IF(I626=1,
    J626,
    MAX(IF(H:H=H626, J:J)) - J626
)</f>
        <v>0</v>
      </c>
    </row>
    <row r="627" spans="1:11" x14ac:dyDescent="0.2">
      <c r="A627" s="43" t="s">
        <v>82</v>
      </c>
      <c r="B627" s="44" t="s">
        <v>13</v>
      </c>
      <c r="C627" s="42">
        <f>VLOOKUP(Tabela13[[#This Row],[Origem]],Tabela1[],2,FALSE)</f>
        <v>82</v>
      </c>
      <c r="D627" s="42">
        <f>VLOOKUP(Tabela13[[#This Row],[Destino]],Tabela1[],2,FALSE)</f>
        <v>14</v>
      </c>
      <c r="E627" s="51" t="s">
        <v>298</v>
      </c>
      <c r="F627" s="52" t="s">
        <v>811</v>
      </c>
      <c r="H627" s="42" t="str">
        <f t="shared" si="18"/>
        <v>Bairro Valparaíso_Rua da Batata Frita</v>
      </c>
      <c r="I627" s="42">
        <f t="shared" si="19"/>
        <v>-1</v>
      </c>
      <c r="J627" s="53">
        <f>COUNTIFS(H$2:H627, H627)-1</f>
        <v>8</v>
      </c>
      <c r="K627" s="42" cm="1">
        <f t="array" ref="K627">IF(I627=1,
    J627,
    MAX(IF(H:H=H627, J:J)) - J627
)</f>
        <v>7</v>
      </c>
    </row>
    <row r="628" spans="1:11" x14ac:dyDescent="0.2">
      <c r="A628" s="43" t="s">
        <v>82</v>
      </c>
      <c r="B628" s="44" t="s">
        <v>13</v>
      </c>
      <c r="C628" s="42">
        <f>VLOOKUP(Tabela13[[#This Row],[Origem]],Tabela1[],2,FALSE)</f>
        <v>82</v>
      </c>
      <c r="D628" s="42">
        <f>VLOOKUP(Tabela13[[#This Row],[Destino]],Tabela1[],2,FALSE)</f>
        <v>14</v>
      </c>
      <c r="E628" s="51" t="s">
        <v>299</v>
      </c>
      <c r="F628" s="52" t="s">
        <v>812</v>
      </c>
      <c r="H628" s="42" t="str">
        <f t="shared" si="18"/>
        <v>Bairro Valparaíso_Rua da Batata Frita</v>
      </c>
      <c r="I628" s="42">
        <f t="shared" si="19"/>
        <v>-1</v>
      </c>
      <c r="J628" s="53">
        <f>COUNTIFS(H$2:H628, H628)-1</f>
        <v>9</v>
      </c>
      <c r="K628" s="42" cm="1">
        <f t="array" ref="K628">IF(I628=1,
    J628,
    MAX(IF(H:H=H628, J:J)) - J628
)</f>
        <v>6</v>
      </c>
    </row>
    <row r="629" spans="1:11" x14ac:dyDescent="0.2">
      <c r="A629" s="43" t="s">
        <v>82</v>
      </c>
      <c r="B629" s="44" t="s">
        <v>13</v>
      </c>
      <c r="C629" s="42">
        <f>VLOOKUP(Tabela13[[#This Row],[Origem]],Tabela1[],2,FALSE)</f>
        <v>82</v>
      </c>
      <c r="D629" s="42">
        <f>VLOOKUP(Tabela13[[#This Row],[Destino]],Tabela1[],2,FALSE)</f>
        <v>14</v>
      </c>
      <c r="E629" s="51" t="s">
        <v>300</v>
      </c>
      <c r="F629" s="52" t="s">
        <v>813</v>
      </c>
      <c r="H629" s="42" t="str">
        <f t="shared" si="18"/>
        <v>Bairro Valparaíso_Rua da Batata Frita</v>
      </c>
      <c r="I629" s="42">
        <f t="shared" si="19"/>
        <v>-1</v>
      </c>
      <c r="J629" s="53">
        <f>COUNTIFS(H$2:H629, H629)-1</f>
        <v>10</v>
      </c>
      <c r="K629" s="42" cm="1">
        <f t="array" ref="K629">IF(I629=1,
    J629,
    MAX(IF(H:H=H629, J:J)) - J629
)</f>
        <v>5</v>
      </c>
    </row>
    <row r="630" spans="1:11" x14ac:dyDescent="0.2">
      <c r="A630" s="43" t="s">
        <v>82</v>
      </c>
      <c r="B630" s="44" t="s">
        <v>13</v>
      </c>
      <c r="C630" s="42">
        <f>VLOOKUP(Tabela13[[#This Row],[Origem]],Tabela1[],2,FALSE)</f>
        <v>82</v>
      </c>
      <c r="D630" s="42">
        <f>VLOOKUP(Tabela13[[#This Row],[Destino]],Tabela1[],2,FALSE)</f>
        <v>14</v>
      </c>
      <c r="E630" s="51" t="s">
        <v>301</v>
      </c>
      <c r="F630" s="52" t="s">
        <v>814</v>
      </c>
      <c r="H630" s="42" t="str">
        <f t="shared" si="18"/>
        <v>Bairro Valparaíso_Rua da Batata Frita</v>
      </c>
      <c r="I630" s="42">
        <f t="shared" si="19"/>
        <v>-1</v>
      </c>
      <c r="J630" s="53">
        <f>COUNTIFS(H$2:H630, H630)-1</f>
        <v>11</v>
      </c>
      <c r="K630" s="42" cm="1">
        <f t="array" ref="K630">IF(I630=1,
    J630,
    MAX(IF(H:H=H630, J:J)) - J630
)</f>
        <v>4</v>
      </c>
    </row>
    <row r="631" spans="1:11" x14ac:dyDescent="0.2">
      <c r="A631" s="43" t="s">
        <v>82</v>
      </c>
      <c r="B631" s="44" t="s">
        <v>13</v>
      </c>
      <c r="C631" s="42">
        <f>VLOOKUP(Tabela13[[#This Row],[Origem]],Tabela1[],2,FALSE)</f>
        <v>82</v>
      </c>
      <c r="D631" s="42">
        <f>VLOOKUP(Tabela13[[#This Row],[Destino]],Tabela1[],2,FALSE)</f>
        <v>14</v>
      </c>
      <c r="E631" s="51" t="s">
        <v>302</v>
      </c>
      <c r="F631" s="52" t="s">
        <v>815</v>
      </c>
      <c r="H631" s="42" t="str">
        <f t="shared" si="18"/>
        <v>Bairro Valparaíso_Rua da Batata Frita</v>
      </c>
      <c r="I631" s="42">
        <f t="shared" si="19"/>
        <v>-1</v>
      </c>
      <c r="J631" s="53">
        <f>COUNTIFS(H$2:H631, H631)-1</f>
        <v>12</v>
      </c>
      <c r="K631" s="42" cm="1">
        <f t="array" ref="K631">IF(I631=1,
    J631,
    MAX(IF(H:H=H631, J:J)) - J631
)</f>
        <v>3</v>
      </c>
    </row>
    <row r="632" spans="1:11" x14ac:dyDescent="0.2">
      <c r="A632" s="43" t="s">
        <v>82</v>
      </c>
      <c r="B632" s="44" t="s">
        <v>13</v>
      </c>
      <c r="C632" s="42">
        <f>VLOOKUP(Tabela13[[#This Row],[Origem]],Tabela1[],2,FALSE)</f>
        <v>82</v>
      </c>
      <c r="D632" s="42">
        <f>VLOOKUP(Tabela13[[#This Row],[Destino]],Tabela1[],2,FALSE)</f>
        <v>14</v>
      </c>
      <c r="E632" s="51" t="s">
        <v>295</v>
      </c>
      <c r="F632" s="52" t="s">
        <v>816</v>
      </c>
      <c r="H632" s="42" t="str">
        <f t="shared" si="18"/>
        <v>Bairro Valparaíso_Rua da Batata Frita</v>
      </c>
      <c r="I632" s="42">
        <f t="shared" si="19"/>
        <v>-1</v>
      </c>
      <c r="J632" s="53">
        <f>COUNTIFS(H$2:H632, H632)-1</f>
        <v>13</v>
      </c>
      <c r="K632" s="42" cm="1">
        <f t="array" ref="K632">IF(I632=1,
    J632,
    MAX(IF(H:H=H632, J:J)) - J632
)</f>
        <v>2</v>
      </c>
    </row>
    <row r="633" spans="1:11" x14ac:dyDescent="0.2">
      <c r="A633" s="43" t="s">
        <v>82</v>
      </c>
      <c r="B633" s="44" t="s">
        <v>13</v>
      </c>
      <c r="C633" s="42">
        <f>VLOOKUP(Tabela13[[#This Row],[Origem]],Tabela1[],2,FALSE)</f>
        <v>82</v>
      </c>
      <c r="D633" s="42">
        <f>VLOOKUP(Tabela13[[#This Row],[Destino]],Tabela1[],2,FALSE)</f>
        <v>14</v>
      </c>
      <c r="E633" s="51" t="s">
        <v>303</v>
      </c>
      <c r="F633" s="52" t="s">
        <v>817</v>
      </c>
      <c r="H633" s="42" t="str">
        <f t="shared" si="18"/>
        <v>Bairro Valparaíso_Rua da Batata Frita</v>
      </c>
      <c r="I633" s="42">
        <f t="shared" si="19"/>
        <v>-1</v>
      </c>
      <c r="J633" s="53">
        <f>COUNTIFS(H$2:H633, H633)-1</f>
        <v>14</v>
      </c>
      <c r="K633" s="42" cm="1">
        <f t="array" ref="K633">IF(I633=1,
    J633,
    MAX(IF(H:H=H633, J:J)) - J633
)</f>
        <v>1</v>
      </c>
    </row>
    <row r="634" spans="1:11" x14ac:dyDescent="0.2">
      <c r="A634" s="43" t="s">
        <v>82</v>
      </c>
      <c r="B634" s="44" t="s">
        <v>13</v>
      </c>
      <c r="C634" s="42">
        <f>VLOOKUP(Tabela13[[#This Row],[Origem]],Tabela1[],2,FALSE)</f>
        <v>82</v>
      </c>
      <c r="D634" s="42">
        <f>VLOOKUP(Tabela13[[#This Row],[Destino]],Tabela1[],2,FALSE)</f>
        <v>14</v>
      </c>
      <c r="E634" s="51" t="s">
        <v>304</v>
      </c>
      <c r="F634" s="52" t="s">
        <v>818</v>
      </c>
      <c r="H634" s="42" t="str">
        <f t="shared" si="18"/>
        <v>Bairro Valparaíso_Rua da Batata Frita</v>
      </c>
      <c r="I634" s="42">
        <f t="shared" si="19"/>
        <v>-1</v>
      </c>
      <c r="J634" s="53">
        <f>COUNTIFS(H$2:H634, H634)-1</f>
        <v>15</v>
      </c>
      <c r="K634" s="42" cm="1">
        <f t="array" ref="K634">IF(I634=1,
    J634,
    MAX(IF(H:H=H634, J:J)) - J634
)</f>
        <v>0</v>
      </c>
    </row>
    <row r="635" spans="1:11" x14ac:dyDescent="0.2">
      <c r="A635" s="43" t="s">
        <v>82</v>
      </c>
      <c r="B635" s="44" t="s">
        <v>56</v>
      </c>
      <c r="C635" s="42">
        <f>VLOOKUP(Tabela13[[#This Row],[Origem]],Tabela1[],2,FALSE)</f>
        <v>82</v>
      </c>
      <c r="D635" s="42">
        <f>VLOOKUP(Tabela13[[#This Row],[Destino]],Tabela1[],2,FALSE)</f>
        <v>56</v>
      </c>
      <c r="E635" s="51" t="s">
        <v>504</v>
      </c>
      <c r="F635" s="52" t="s">
        <v>1017</v>
      </c>
      <c r="H635" s="42" t="str">
        <f t="shared" si="18"/>
        <v>Palácio Quitandinha_Rua da Batata Frita</v>
      </c>
      <c r="I635" s="42">
        <f t="shared" si="19"/>
        <v>-1</v>
      </c>
      <c r="J635" s="53">
        <f>COUNTIFS(H$2:H635, H635)-1</f>
        <v>11</v>
      </c>
      <c r="K635" s="42" cm="1">
        <f t="array" ref="K635">IF(I635=1,
    J635,
    MAX(IF(H:H=H635, J:J)) - J635
)</f>
        <v>10</v>
      </c>
    </row>
    <row r="636" spans="1:11" x14ac:dyDescent="0.2">
      <c r="A636" s="43" t="s">
        <v>82</v>
      </c>
      <c r="B636" s="44" t="s">
        <v>56</v>
      </c>
      <c r="C636" s="42">
        <f>VLOOKUP(Tabela13[[#This Row],[Origem]],Tabela1[],2,FALSE)</f>
        <v>82</v>
      </c>
      <c r="D636" s="42">
        <f>VLOOKUP(Tabela13[[#This Row],[Destino]],Tabela1[],2,FALSE)</f>
        <v>56</v>
      </c>
      <c r="E636" s="51" t="s">
        <v>505</v>
      </c>
      <c r="F636" s="52" t="s">
        <v>1018</v>
      </c>
      <c r="H636" s="42" t="str">
        <f t="shared" si="18"/>
        <v>Palácio Quitandinha_Rua da Batata Frita</v>
      </c>
      <c r="I636" s="42">
        <f t="shared" si="19"/>
        <v>-1</v>
      </c>
      <c r="J636" s="53">
        <f>COUNTIFS(H$2:H636, H636)-1</f>
        <v>12</v>
      </c>
      <c r="K636" s="42" cm="1">
        <f t="array" ref="K636">IF(I636=1,
    J636,
    MAX(IF(H:H=H636, J:J)) - J636
)</f>
        <v>9</v>
      </c>
    </row>
    <row r="637" spans="1:11" x14ac:dyDescent="0.2">
      <c r="A637" s="43" t="s">
        <v>82</v>
      </c>
      <c r="B637" s="44" t="s">
        <v>56</v>
      </c>
      <c r="C637" s="42">
        <f>VLOOKUP(Tabela13[[#This Row],[Origem]],Tabela1[],2,FALSE)</f>
        <v>82</v>
      </c>
      <c r="D637" s="42">
        <f>VLOOKUP(Tabela13[[#This Row],[Destino]],Tabela1[],2,FALSE)</f>
        <v>56</v>
      </c>
      <c r="E637" s="51" t="s">
        <v>506</v>
      </c>
      <c r="F637" s="52" t="s">
        <v>1019</v>
      </c>
      <c r="H637" s="42" t="str">
        <f t="shared" si="18"/>
        <v>Palácio Quitandinha_Rua da Batata Frita</v>
      </c>
      <c r="I637" s="42">
        <f t="shared" si="19"/>
        <v>-1</v>
      </c>
      <c r="J637" s="53">
        <f>COUNTIFS(H$2:H637, H637)-1</f>
        <v>13</v>
      </c>
      <c r="K637" s="42" cm="1">
        <f t="array" ref="K637">IF(I637=1,
    J637,
    MAX(IF(H:H=H637, J:J)) - J637
)</f>
        <v>8</v>
      </c>
    </row>
    <row r="638" spans="1:11" x14ac:dyDescent="0.2">
      <c r="A638" s="43" t="s">
        <v>82</v>
      </c>
      <c r="B638" s="44" t="s">
        <v>56</v>
      </c>
      <c r="C638" s="42">
        <f>VLOOKUP(Tabela13[[#This Row],[Origem]],Tabela1[],2,FALSE)</f>
        <v>82</v>
      </c>
      <c r="D638" s="42">
        <f>VLOOKUP(Tabela13[[#This Row],[Destino]],Tabela1[],2,FALSE)</f>
        <v>56</v>
      </c>
      <c r="E638" s="51" t="s">
        <v>507</v>
      </c>
      <c r="F638" s="52" t="s">
        <v>1020</v>
      </c>
      <c r="H638" s="42" t="str">
        <f t="shared" si="18"/>
        <v>Palácio Quitandinha_Rua da Batata Frita</v>
      </c>
      <c r="I638" s="42">
        <f t="shared" si="19"/>
        <v>-1</v>
      </c>
      <c r="J638" s="53">
        <f>COUNTIFS(H$2:H638, H638)-1</f>
        <v>14</v>
      </c>
      <c r="K638" s="42" cm="1">
        <f t="array" ref="K638">IF(I638=1,
    J638,
    MAX(IF(H:H=H638, J:J)) - J638
)</f>
        <v>7</v>
      </c>
    </row>
    <row r="639" spans="1:11" x14ac:dyDescent="0.2">
      <c r="A639" s="43" t="s">
        <v>82</v>
      </c>
      <c r="B639" s="44" t="s">
        <v>56</v>
      </c>
      <c r="C639" s="42">
        <f>VLOOKUP(Tabela13[[#This Row],[Origem]],Tabela1[],2,FALSE)</f>
        <v>82</v>
      </c>
      <c r="D639" s="42">
        <f>VLOOKUP(Tabela13[[#This Row],[Destino]],Tabela1[],2,FALSE)</f>
        <v>56</v>
      </c>
      <c r="E639" s="51" t="s">
        <v>508</v>
      </c>
      <c r="F639" s="52" t="s">
        <v>1021</v>
      </c>
      <c r="H639" s="42" t="str">
        <f t="shared" si="18"/>
        <v>Palácio Quitandinha_Rua da Batata Frita</v>
      </c>
      <c r="I639" s="42">
        <f t="shared" si="19"/>
        <v>-1</v>
      </c>
      <c r="J639" s="53">
        <f>COUNTIFS(H$2:H639, H639)-1</f>
        <v>15</v>
      </c>
      <c r="K639" s="42" cm="1">
        <f t="array" ref="K639">IF(I639=1,
    J639,
    MAX(IF(H:H=H639, J:J)) - J639
)</f>
        <v>6</v>
      </c>
    </row>
    <row r="640" spans="1:11" x14ac:dyDescent="0.2">
      <c r="A640" s="43" t="s">
        <v>82</v>
      </c>
      <c r="B640" s="44" t="s">
        <v>56</v>
      </c>
      <c r="C640" s="42">
        <f>VLOOKUP(Tabela13[[#This Row],[Origem]],Tabela1[],2,FALSE)</f>
        <v>82</v>
      </c>
      <c r="D640" s="42">
        <f>VLOOKUP(Tabela13[[#This Row],[Destino]],Tabela1[],2,FALSE)</f>
        <v>56</v>
      </c>
      <c r="E640" s="51" t="s">
        <v>509</v>
      </c>
      <c r="F640" s="52" t="s">
        <v>1022</v>
      </c>
      <c r="H640" s="42" t="str">
        <f t="shared" si="18"/>
        <v>Palácio Quitandinha_Rua da Batata Frita</v>
      </c>
      <c r="I640" s="42">
        <f t="shared" si="19"/>
        <v>-1</v>
      </c>
      <c r="J640" s="53">
        <f>COUNTIFS(H$2:H640, H640)-1</f>
        <v>16</v>
      </c>
      <c r="K640" s="42" cm="1">
        <f t="array" ref="K640">IF(I640=1,
    J640,
    MAX(IF(H:H=H640, J:J)) - J640
)</f>
        <v>5</v>
      </c>
    </row>
    <row r="641" spans="1:11" x14ac:dyDescent="0.2">
      <c r="A641" s="43" t="s">
        <v>82</v>
      </c>
      <c r="B641" s="44" t="s">
        <v>56</v>
      </c>
      <c r="C641" s="42">
        <f>VLOOKUP(Tabela13[[#This Row],[Origem]],Tabela1[],2,FALSE)</f>
        <v>82</v>
      </c>
      <c r="D641" s="42">
        <f>VLOOKUP(Tabela13[[#This Row],[Destino]],Tabela1[],2,FALSE)</f>
        <v>56</v>
      </c>
      <c r="E641" s="51" t="s">
        <v>510</v>
      </c>
      <c r="F641" s="52" t="s">
        <v>1023</v>
      </c>
      <c r="H641" s="42" t="str">
        <f t="shared" si="18"/>
        <v>Palácio Quitandinha_Rua da Batata Frita</v>
      </c>
      <c r="I641" s="42">
        <f t="shared" si="19"/>
        <v>-1</v>
      </c>
      <c r="J641" s="53">
        <f>COUNTIFS(H$2:H641, H641)-1</f>
        <v>17</v>
      </c>
      <c r="K641" s="42" cm="1">
        <f t="array" ref="K641">IF(I641=1,
    J641,
    MAX(IF(H:H=H641, J:J)) - J641
)</f>
        <v>4</v>
      </c>
    </row>
    <row r="642" spans="1:11" x14ac:dyDescent="0.2">
      <c r="A642" s="43" t="s">
        <v>82</v>
      </c>
      <c r="B642" s="44" t="s">
        <v>56</v>
      </c>
      <c r="C642" s="42">
        <f>VLOOKUP(Tabela13[[#This Row],[Origem]],Tabela1[],2,FALSE)</f>
        <v>82</v>
      </c>
      <c r="D642" s="42">
        <f>VLOOKUP(Tabela13[[#This Row],[Destino]],Tabela1[],2,FALSE)</f>
        <v>56</v>
      </c>
      <c r="E642" s="51" t="s">
        <v>511</v>
      </c>
      <c r="F642" s="52" t="s">
        <v>1024</v>
      </c>
      <c r="H642" s="42" t="str">
        <f t="shared" ref="H642:H705" si="20">IF(A642&lt;B642, A642&amp;"_"&amp;B642, B642&amp;"_"&amp;A642)</f>
        <v>Palácio Quitandinha_Rua da Batata Frita</v>
      </c>
      <c r="I642" s="42">
        <f t="shared" ref="I642:I705" si="21">IF(A642&lt;B642, 1, -1)</f>
        <v>-1</v>
      </c>
      <c r="J642" s="53">
        <f>COUNTIFS(H$2:H642, H642)-1</f>
        <v>18</v>
      </c>
      <c r="K642" s="42" cm="1">
        <f t="array" ref="K642">IF(I642=1,
    J642,
    MAX(IF(H:H=H642, J:J)) - J642
)</f>
        <v>3</v>
      </c>
    </row>
    <row r="643" spans="1:11" x14ac:dyDescent="0.2">
      <c r="A643" s="43" t="s">
        <v>82</v>
      </c>
      <c r="B643" s="44" t="s">
        <v>56</v>
      </c>
      <c r="C643" s="42">
        <f>VLOOKUP(Tabela13[[#This Row],[Origem]],Tabela1[],2,FALSE)</f>
        <v>82</v>
      </c>
      <c r="D643" s="42">
        <f>VLOOKUP(Tabela13[[#This Row],[Destino]],Tabela1[],2,FALSE)</f>
        <v>56</v>
      </c>
      <c r="E643" s="51" t="s">
        <v>512</v>
      </c>
      <c r="F643" s="52" t="s">
        <v>1025</v>
      </c>
      <c r="H643" s="42" t="str">
        <f t="shared" si="20"/>
        <v>Palácio Quitandinha_Rua da Batata Frita</v>
      </c>
      <c r="I643" s="42">
        <f t="shared" si="21"/>
        <v>-1</v>
      </c>
      <c r="J643" s="53">
        <f>COUNTIFS(H$2:H643, H643)-1</f>
        <v>19</v>
      </c>
      <c r="K643" s="42" cm="1">
        <f t="array" ref="K643">IF(I643=1,
    J643,
    MAX(IF(H:H=H643, J:J)) - J643
)</f>
        <v>2</v>
      </c>
    </row>
    <row r="644" spans="1:11" x14ac:dyDescent="0.2">
      <c r="A644" s="43" t="s">
        <v>82</v>
      </c>
      <c r="B644" s="44" t="s">
        <v>56</v>
      </c>
      <c r="C644" s="42">
        <f>VLOOKUP(Tabela13[[#This Row],[Origem]],Tabela1[],2,FALSE)</f>
        <v>82</v>
      </c>
      <c r="D644" s="42">
        <f>VLOOKUP(Tabela13[[#This Row],[Destino]],Tabela1[],2,FALSE)</f>
        <v>56</v>
      </c>
      <c r="E644" s="51" t="s">
        <v>513</v>
      </c>
      <c r="F644" s="52" t="s">
        <v>1026</v>
      </c>
      <c r="H644" s="42" t="str">
        <f t="shared" si="20"/>
        <v>Palácio Quitandinha_Rua da Batata Frita</v>
      </c>
      <c r="I644" s="42">
        <f t="shared" si="21"/>
        <v>-1</v>
      </c>
      <c r="J644" s="53">
        <f>COUNTIFS(H$2:H644, H644)-1</f>
        <v>20</v>
      </c>
      <c r="K644" s="42" cm="1">
        <f t="array" ref="K644">IF(I644=1,
    J644,
    MAX(IF(H:H=H644, J:J)) - J644
)</f>
        <v>1</v>
      </c>
    </row>
    <row r="645" spans="1:11" x14ac:dyDescent="0.2">
      <c r="A645" s="43" t="s">
        <v>82</v>
      </c>
      <c r="B645" s="44" t="s">
        <v>56</v>
      </c>
      <c r="C645" s="42">
        <f>VLOOKUP(Tabela13[[#This Row],[Origem]],Tabela1[],2,FALSE)</f>
        <v>82</v>
      </c>
      <c r="D645" s="42">
        <f>VLOOKUP(Tabela13[[#This Row],[Destino]],Tabela1[],2,FALSE)</f>
        <v>56</v>
      </c>
      <c r="E645" s="51" t="s">
        <v>514</v>
      </c>
      <c r="F645" s="52" t="s">
        <v>1027</v>
      </c>
      <c r="H645" s="42" t="str">
        <f t="shared" si="20"/>
        <v>Palácio Quitandinha_Rua da Batata Frita</v>
      </c>
      <c r="I645" s="42">
        <f t="shared" si="21"/>
        <v>-1</v>
      </c>
      <c r="J645" s="53">
        <f>COUNTIFS(H$2:H645, H645)-1</f>
        <v>21</v>
      </c>
      <c r="K645" s="42" cm="1">
        <f t="array" ref="K645">IF(I645=1,
    J645,
    MAX(IF(H:H=H645, J:J)) - J645
)</f>
        <v>0</v>
      </c>
    </row>
    <row r="646" spans="1:11" x14ac:dyDescent="0.2">
      <c r="A646" s="43" t="s">
        <v>82</v>
      </c>
      <c r="B646" s="44" t="s">
        <v>86</v>
      </c>
      <c r="C646" s="42">
        <f>VLOOKUP(Tabela13[[#This Row],[Origem]],Tabela1[],2,FALSE)</f>
        <v>82</v>
      </c>
      <c r="D646" s="42">
        <f>VLOOKUP(Tabela13[[#This Row],[Destino]],Tabela1[],2,FALSE)</f>
        <v>86</v>
      </c>
      <c r="E646" s="51" t="s">
        <v>622</v>
      </c>
      <c r="F646" s="52" t="s">
        <v>1136</v>
      </c>
      <c r="H646" s="42" t="str">
        <f t="shared" si="20"/>
        <v>Rua da Batata Frita_Rua Dr. Thouzet</v>
      </c>
      <c r="I646" s="42">
        <f t="shared" si="21"/>
        <v>1</v>
      </c>
      <c r="J646" s="53">
        <f>COUNTIFS(H$2:H646, H646)-1</f>
        <v>0</v>
      </c>
      <c r="K646" s="42" cm="1">
        <f t="array" ref="K646">IF(I646=1,
    J646,
    MAX(IF(H:H=H646, J:J)) - J646
)</f>
        <v>0</v>
      </c>
    </row>
    <row r="647" spans="1:11" x14ac:dyDescent="0.2">
      <c r="A647" s="43" t="s">
        <v>82</v>
      </c>
      <c r="B647" s="44" t="s">
        <v>86</v>
      </c>
      <c r="C647" s="42">
        <f>VLOOKUP(Tabela13[[#This Row],[Origem]],Tabela1[],2,FALSE)</f>
        <v>82</v>
      </c>
      <c r="D647" s="42">
        <f>VLOOKUP(Tabela13[[#This Row],[Destino]],Tabela1[],2,FALSE)</f>
        <v>86</v>
      </c>
      <c r="E647" s="51" t="s">
        <v>623</v>
      </c>
      <c r="F647" s="52" t="s">
        <v>1137</v>
      </c>
      <c r="H647" s="42" t="str">
        <f t="shared" si="20"/>
        <v>Rua da Batata Frita_Rua Dr. Thouzet</v>
      </c>
      <c r="I647" s="42">
        <f t="shared" si="21"/>
        <v>1</v>
      </c>
      <c r="J647" s="53">
        <f>COUNTIFS(H$2:H647, H647)-1</f>
        <v>1</v>
      </c>
      <c r="K647" s="42" cm="1">
        <f t="array" ref="K647">IF(I647=1,
    J647,
    MAX(IF(H:H=H647, J:J)) - J647
)</f>
        <v>1</v>
      </c>
    </row>
    <row r="648" spans="1:11" x14ac:dyDescent="0.2">
      <c r="A648" s="43" t="s">
        <v>82</v>
      </c>
      <c r="B648" s="44" t="s">
        <v>86</v>
      </c>
      <c r="C648" s="42">
        <f>VLOOKUP(Tabela13[[#This Row],[Origem]],Tabela1[],2,FALSE)</f>
        <v>82</v>
      </c>
      <c r="D648" s="42">
        <f>VLOOKUP(Tabela13[[#This Row],[Destino]],Tabela1[],2,FALSE)</f>
        <v>86</v>
      </c>
      <c r="E648" s="51" t="s">
        <v>624</v>
      </c>
      <c r="F648" s="52" t="s">
        <v>1138</v>
      </c>
      <c r="H648" s="42" t="str">
        <f t="shared" si="20"/>
        <v>Rua da Batata Frita_Rua Dr. Thouzet</v>
      </c>
      <c r="I648" s="42">
        <f t="shared" si="21"/>
        <v>1</v>
      </c>
      <c r="J648" s="53">
        <f>COUNTIFS(H$2:H648, H648)-1</f>
        <v>2</v>
      </c>
      <c r="K648" s="42" cm="1">
        <f t="array" ref="K648">IF(I648=1,
    J648,
    MAX(IF(H:H=H648, J:J)) - J648
)</f>
        <v>2</v>
      </c>
    </row>
    <row r="649" spans="1:11" x14ac:dyDescent="0.2">
      <c r="A649" s="43" t="s">
        <v>82</v>
      </c>
      <c r="B649" s="44" t="s">
        <v>86</v>
      </c>
      <c r="C649" s="42">
        <f>VLOOKUP(Tabela13[[#This Row],[Origem]],Tabela1[],2,FALSE)</f>
        <v>82</v>
      </c>
      <c r="D649" s="42">
        <f>VLOOKUP(Tabela13[[#This Row],[Destino]],Tabela1[],2,FALSE)</f>
        <v>86</v>
      </c>
      <c r="E649" s="51" t="s">
        <v>625</v>
      </c>
      <c r="F649" s="52" t="s">
        <v>1139</v>
      </c>
      <c r="H649" s="42" t="str">
        <f t="shared" si="20"/>
        <v>Rua da Batata Frita_Rua Dr. Thouzet</v>
      </c>
      <c r="I649" s="42">
        <f t="shared" si="21"/>
        <v>1</v>
      </c>
      <c r="J649" s="53">
        <f>COUNTIFS(H$2:H649, H649)-1</f>
        <v>3</v>
      </c>
      <c r="K649" s="42" cm="1">
        <f t="array" ref="K649">IF(I649=1,
    J649,
    MAX(IF(H:H=H649, J:J)) - J649
)</f>
        <v>3</v>
      </c>
    </row>
    <row r="650" spans="1:11" x14ac:dyDescent="0.2">
      <c r="A650" s="43" t="s">
        <v>82</v>
      </c>
      <c r="B650" s="44" t="s">
        <v>86</v>
      </c>
      <c r="C650" s="42">
        <f>VLOOKUP(Tabela13[[#This Row],[Origem]],Tabela1[],2,FALSE)</f>
        <v>82</v>
      </c>
      <c r="D650" s="42">
        <f>VLOOKUP(Tabela13[[#This Row],[Destino]],Tabela1[],2,FALSE)</f>
        <v>86</v>
      </c>
      <c r="E650" s="51" t="s">
        <v>626</v>
      </c>
      <c r="F650" s="52" t="s">
        <v>1140</v>
      </c>
      <c r="H650" s="42" t="str">
        <f t="shared" si="20"/>
        <v>Rua da Batata Frita_Rua Dr. Thouzet</v>
      </c>
      <c r="I650" s="42">
        <f t="shared" si="21"/>
        <v>1</v>
      </c>
      <c r="J650" s="53">
        <f>COUNTIFS(H$2:H650, H650)-1</f>
        <v>4</v>
      </c>
      <c r="K650" s="42" cm="1">
        <f t="array" ref="K650">IF(I650=1,
    J650,
    MAX(IF(H:H=H650, J:J)) - J650
)</f>
        <v>4</v>
      </c>
    </row>
    <row r="651" spans="1:11" x14ac:dyDescent="0.2">
      <c r="A651" s="43" t="s">
        <v>82</v>
      </c>
      <c r="B651" s="44" t="s">
        <v>86</v>
      </c>
      <c r="C651" s="42">
        <f>VLOOKUP(Tabela13[[#This Row],[Origem]],Tabela1[],2,FALSE)</f>
        <v>82</v>
      </c>
      <c r="D651" s="42">
        <f>VLOOKUP(Tabela13[[#This Row],[Destino]],Tabela1[],2,FALSE)</f>
        <v>86</v>
      </c>
      <c r="E651" s="51" t="s">
        <v>627</v>
      </c>
      <c r="F651" s="52" t="s">
        <v>1141</v>
      </c>
      <c r="H651" s="42" t="str">
        <f t="shared" si="20"/>
        <v>Rua da Batata Frita_Rua Dr. Thouzet</v>
      </c>
      <c r="I651" s="42">
        <f t="shared" si="21"/>
        <v>1</v>
      </c>
      <c r="J651" s="53">
        <f>COUNTIFS(H$2:H651, H651)-1</f>
        <v>5</v>
      </c>
      <c r="K651" s="42" cm="1">
        <f t="array" ref="K651">IF(I651=1,
    J651,
    MAX(IF(H:H=H651, J:J)) - J651
)</f>
        <v>5</v>
      </c>
    </row>
    <row r="652" spans="1:11" x14ac:dyDescent="0.2">
      <c r="A652" s="43" t="s">
        <v>82</v>
      </c>
      <c r="B652" s="44" t="s">
        <v>86</v>
      </c>
      <c r="C652" s="42">
        <f>VLOOKUP(Tabela13[[#This Row],[Origem]],Tabela1[],2,FALSE)</f>
        <v>82</v>
      </c>
      <c r="D652" s="42">
        <f>VLOOKUP(Tabela13[[#This Row],[Destino]],Tabela1[],2,FALSE)</f>
        <v>86</v>
      </c>
      <c r="E652" s="51" t="s">
        <v>628</v>
      </c>
      <c r="F652" s="52" t="s">
        <v>1142</v>
      </c>
      <c r="H652" s="42" t="str">
        <f t="shared" si="20"/>
        <v>Rua da Batata Frita_Rua Dr. Thouzet</v>
      </c>
      <c r="I652" s="42">
        <f t="shared" si="21"/>
        <v>1</v>
      </c>
      <c r="J652" s="53">
        <f>COUNTIFS(H$2:H652, H652)-1</f>
        <v>6</v>
      </c>
      <c r="K652" s="42" cm="1">
        <f t="array" ref="K652">IF(I652=1,
    J652,
    MAX(IF(H:H=H652, J:J)) - J652
)</f>
        <v>6</v>
      </c>
    </row>
    <row r="653" spans="1:11" x14ac:dyDescent="0.2">
      <c r="A653" s="43" t="s">
        <v>82</v>
      </c>
      <c r="B653" s="44" t="s">
        <v>86</v>
      </c>
      <c r="C653" s="42">
        <f>VLOOKUP(Tabela13[[#This Row],[Origem]],Tabela1[],2,FALSE)</f>
        <v>82</v>
      </c>
      <c r="D653" s="42">
        <f>VLOOKUP(Tabela13[[#This Row],[Destino]],Tabela1[],2,FALSE)</f>
        <v>86</v>
      </c>
      <c r="E653" s="51" t="s">
        <v>629</v>
      </c>
      <c r="F653" s="52" t="s">
        <v>1143</v>
      </c>
      <c r="H653" s="42" t="str">
        <f t="shared" si="20"/>
        <v>Rua da Batata Frita_Rua Dr. Thouzet</v>
      </c>
      <c r="I653" s="42">
        <f t="shared" si="21"/>
        <v>1</v>
      </c>
      <c r="J653" s="53">
        <f>COUNTIFS(H$2:H653, H653)-1</f>
        <v>7</v>
      </c>
      <c r="K653" s="42" cm="1">
        <f t="array" ref="K653">IF(I653=1,
    J653,
    MAX(IF(H:H=H653, J:J)) - J653
)</f>
        <v>7</v>
      </c>
    </row>
    <row r="654" spans="1:11" x14ac:dyDescent="0.2">
      <c r="A654" s="43" t="s">
        <v>82</v>
      </c>
      <c r="B654" s="44" t="s">
        <v>86</v>
      </c>
      <c r="C654" s="42">
        <f>VLOOKUP(Tabela13[[#This Row],[Origem]],Tabela1[],2,FALSE)</f>
        <v>82</v>
      </c>
      <c r="D654" s="42">
        <f>VLOOKUP(Tabela13[[#This Row],[Destino]],Tabela1[],2,FALSE)</f>
        <v>86</v>
      </c>
      <c r="E654" s="51" t="s">
        <v>630</v>
      </c>
      <c r="F654" s="52" t="s">
        <v>1144</v>
      </c>
      <c r="H654" s="42" t="str">
        <f t="shared" si="20"/>
        <v>Rua da Batata Frita_Rua Dr. Thouzet</v>
      </c>
      <c r="I654" s="42">
        <f t="shared" si="21"/>
        <v>1</v>
      </c>
      <c r="J654" s="53">
        <f>COUNTIFS(H$2:H654, H654)-1</f>
        <v>8</v>
      </c>
      <c r="K654" s="42" cm="1">
        <f t="array" ref="K654">IF(I654=1,
    J654,
    MAX(IF(H:H=H654, J:J)) - J654
)</f>
        <v>8</v>
      </c>
    </row>
    <row r="655" spans="1:11" x14ac:dyDescent="0.2">
      <c r="A655" s="43" t="s">
        <v>82</v>
      </c>
      <c r="B655" s="44" t="s">
        <v>86</v>
      </c>
      <c r="C655" s="42">
        <f>VLOOKUP(Tabela13[[#This Row],[Origem]],Tabela1[],2,FALSE)</f>
        <v>82</v>
      </c>
      <c r="D655" s="42">
        <f>VLOOKUP(Tabela13[[#This Row],[Destino]],Tabela1[],2,FALSE)</f>
        <v>86</v>
      </c>
      <c r="E655" s="51" t="s">
        <v>631</v>
      </c>
      <c r="F655" s="52" t="s">
        <v>1145</v>
      </c>
      <c r="H655" s="42" t="str">
        <f t="shared" si="20"/>
        <v>Rua da Batata Frita_Rua Dr. Thouzet</v>
      </c>
      <c r="I655" s="42">
        <f t="shared" si="21"/>
        <v>1</v>
      </c>
      <c r="J655" s="53">
        <f>COUNTIFS(H$2:H655, H655)-1</f>
        <v>9</v>
      </c>
      <c r="K655" s="42" cm="1">
        <f t="array" ref="K655">IF(I655=1,
    J655,
    MAX(IF(H:H=H655, J:J)) - J655
)</f>
        <v>9</v>
      </c>
    </row>
    <row r="656" spans="1:11" x14ac:dyDescent="0.2">
      <c r="A656" s="43" t="s">
        <v>82</v>
      </c>
      <c r="B656" s="44" t="s">
        <v>86</v>
      </c>
      <c r="C656" s="42">
        <f>VLOOKUP(Tabela13[[#This Row],[Origem]],Tabela1[],2,FALSE)</f>
        <v>82</v>
      </c>
      <c r="D656" s="42">
        <f>VLOOKUP(Tabela13[[#This Row],[Destino]],Tabela1[],2,FALSE)</f>
        <v>86</v>
      </c>
      <c r="E656" s="51" t="s">
        <v>632</v>
      </c>
      <c r="F656" s="52" t="s">
        <v>1146</v>
      </c>
      <c r="H656" s="42" t="str">
        <f t="shared" si="20"/>
        <v>Rua da Batata Frita_Rua Dr. Thouzet</v>
      </c>
      <c r="I656" s="42">
        <f t="shared" si="21"/>
        <v>1</v>
      </c>
      <c r="J656" s="53">
        <f>COUNTIFS(H$2:H656, H656)-1</f>
        <v>10</v>
      </c>
      <c r="K656" s="42" cm="1">
        <f t="array" ref="K656">IF(I656=1,
    J656,
    MAX(IF(H:H=H656, J:J)) - J656
)</f>
        <v>10</v>
      </c>
    </row>
    <row r="657" spans="1:11" x14ac:dyDescent="0.2">
      <c r="A657" s="43" t="s">
        <v>82</v>
      </c>
      <c r="B657" s="44" t="s">
        <v>86</v>
      </c>
      <c r="C657" s="42">
        <f>VLOOKUP(Tabela13[[#This Row],[Origem]],Tabela1[],2,FALSE)</f>
        <v>82</v>
      </c>
      <c r="D657" s="42">
        <f>VLOOKUP(Tabela13[[#This Row],[Destino]],Tabela1[],2,FALSE)</f>
        <v>86</v>
      </c>
      <c r="E657" s="51" t="s">
        <v>633</v>
      </c>
      <c r="F657" s="52" t="s">
        <v>1147</v>
      </c>
      <c r="H657" s="42" t="str">
        <f t="shared" si="20"/>
        <v>Rua da Batata Frita_Rua Dr. Thouzet</v>
      </c>
      <c r="I657" s="42">
        <f t="shared" si="21"/>
        <v>1</v>
      </c>
      <c r="J657" s="53">
        <f>COUNTIFS(H$2:H657, H657)-1</f>
        <v>11</v>
      </c>
      <c r="K657" s="42" cm="1">
        <f t="array" ref="K657">IF(I657=1,
    J657,
    MAX(IF(H:H=H657, J:J)) - J657
)</f>
        <v>11</v>
      </c>
    </row>
    <row r="658" spans="1:11" x14ac:dyDescent="0.2">
      <c r="A658" s="43" t="s">
        <v>82</v>
      </c>
      <c r="B658" s="44" t="s">
        <v>86</v>
      </c>
      <c r="C658" s="42">
        <f>VLOOKUP(Tabela13[[#This Row],[Origem]],Tabela1[],2,FALSE)</f>
        <v>82</v>
      </c>
      <c r="D658" s="42">
        <f>VLOOKUP(Tabela13[[#This Row],[Destino]],Tabela1[],2,FALSE)</f>
        <v>86</v>
      </c>
      <c r="E658" s="51" t="s">
        <v>634</v>
      </c>
      <c r="F658" s="52" t="s">
        <v>1148</v>
      </c>
      <c r="H658" s="42" t="str">
        <f t="shared" si="20"/>
        <v>Rua da Batata Frita_Rua Dr. Thouzet</v>
      </c>
      <c r="I658" s="42">
        <f t="shared" si="21"/>
        <v>1</v>
      </c>
      <c r="J658" s="53">
        <f>COUNTIFS(H$2:H658, H658)-1</f>
        <v>12</v>
      </c>
      <c r="K658" s="42" cm="1">
        <f t="array" ref="K658">IF(I658=1,
    J658,
    MAX(IF(H:H=H658, J:J)) - J658
)</f>
        <v>12</v>
      </c>
    </row>
    <row r="659" spans="1:11" x14ac:dyDescent="0.2">
      <c r="A659" s="43" t="s">
        <v>82</v>
      </c>
      <c r="B659" s="44" t="s">
        <v>86</v>
      </c>
      <c r="C659" s="42">
        <f>VLOOKUP(Tabela13[[#This Row],[Origem]],Tabela1[],2,FALSE)</f>
        <v>82</v>
      </c>
      <c r="D659" s="42">
        <f>VLOOKUP(Tabela13[[#This Row],[Destino]],Tabela1[],2,FALSE)</f>
        <v>86</v>
      </c>
      <c r="E659" s="51" t="s">
        <v>635</v>
      </c>
      <c r="F659" s="52" t="s">
        <v>1149</v>
      </c>
      <c r="H659" s="42" t="str">
        <f t="shared" si="20"/>
        <v>Rua da Batata Frita_Rua Dr. Thouzet</v>
      </c>
      <c r="I659" s="42">
        <f t="shared" si="21"/>
        <v>1</v>
      </c>
      <c r="J659" s="53">
        <f>COUNTIFS(H$2:H659, H659)-1</f>
        <v>13</v>
      </c>
      <c r="K659" s="42" cm="1">
        <f t="array" ref="K659">IF(I659=1,
    J659,
    MAX(IF(H:H=H659, J:J)) - J659
)</f>
        <v>13</v>
      </c>
    </row>
    <row r="660" spans="1:11" x14ac:dyDescent="0.2">
      <c r="A660" s="43" t="s">
        <v>82</v>
      </c>
      <c r="B660" s="44" t="s">
        <v>86</v>
      </c>
      <c r="C660" s="42">
        <f>VLOOKUP(Tabela13[[#This Row],[Origem]],Tabela1[],2,FALSE)</f>
        <v>82</v>
      </c>
      <c r="D660" s="42">
        <f>VLOOKUP(Tabela13[[#This Row],[Destino]],Tabela1[],2,FALSE)</f>
        <v>86</v>
      </c>
      <c r="E660" s="51" t="s">
        <v>308</v>
      </c>
      <c r="F660" s="52" t="s">
        <v>790</v>
      </c>
      <c r="H660" s="42" t="str">
        <f t="shared" si="20"/>
        <v>Rua da Batata Frita_Rua Dr. Thouzet</v>
      </c>
      <c r="I660" s="42">
        <f t="shared" si="21"/>
        <v>1</v>
      </c>
      <c r="J660" s="53">
        <f>COUNTIFS(H$2:H660, H660)-1</f>
        <v>14</v>
      </c>
      <c r="K660" s="42" cm="1">
        <f t="array" ref="K660">IF(I660=1,
    J660,
    MAX(IF(H:H=H660, J:J)) - J660
)</f>
        <v>14</v>
      </c>
    </row>
    <row r="661" spans="1:11" x14ac:dyDescent="0.2">
      <c r="A661" s="43" t="s">
        <v>82</v>
      </c>
      <c r="B661" s="44" t="s">
        <v>86</v>
      </c>
      <c r="C661" s="42">
        <f>VLOOKUP(Tabela13[[#This Row],[Origem]],Tabela1[],2,FALSE)</f>
        <v>82</v>
      </c>
      <c r="D661" s="42">
        <f>VLOOKUP(Tabela13[[#This Row],[Destino]],Tabela1[],2,FALSE)</f>
        <v>86</v>
      </c>
      <c r="E661" s="51" t="s">
        <v>636</v>
      </c>
      <c r="F661" s="52" t="s">
        <v>1150</v>
      </c>
      <c r="H661" s="42" t="str">
        <f t="shared" si="20"/>
        <v>Rua da Batata Frita_Rua Dr. Thouzet</v>
      </c>
      <c r="I661" s="42">
        <f t="shared" si="21"/>
        <v>1</v>
      </c>
      <c r="J661" s="53">
        <f>COUNTIFS(H$2:H661, H661)-1</f>
        <v>15</v>
      </c>
      <c r="K661" s="42" cm="1">
        <f t="array" ref="K661">IF(I661=1,
    J661,
    MAX(IF(H:H=H661, J:J)) - J661
)</f>
        <v>15</v>
      </c>
    </row>
    <row r="662" spans="1:11" x14ac:dyDescent="0.2">
      <c r="A662" s="43" t="s">
        <v>82</v>
      </c>
      <c r="B662" s="44" t="s">
        <v>86</v>
      </c>
      <c r="C662" s="42">
        <f>VLOOKUP(Tabela13[[#This Row],[Origem]],Tabela1[],2,FALSE)</f>
        <v>82</v>
      </c>
      <c r="D662" s="42">
        <f>VLOOKUP(Tabela13[[#This Row],[Destino]],Tabela1[],2,FALSE)</f>
        <v>86</v>
      </c>
      <c r="E662" s="51" t="s">
        <v>637</v>
      </c>
      <c r="F662" s="52" t="s">
        <v>1151</v>
      </c>
      <c r="H662" s="42" t="str">
        <f t="shared" si="20"/>
        <v>Rua da Batata Frita_Rua Dr. Thouzet</v>
      </c>
      <c r="I662" s="42">
        <f t="shared" si="21"/>
        <v>1</v>
      </c>
      <c r="J662" s="53">
        <f>COUNTIFS(H$2:H662, H662)-1</f>
        <v>16</v>
      </c>
      <c r="K662" s="42" cm="1">
        <f t="array" ref="K662">IF(I662=1,
    J662,
    MAX(IF(H:H=H662, J:J)) - J662
)</f>
        <v>16</v>
      </c>
    </row>
    <row r="663" spans="1:11" x14ac:dyDescent="0.2">
      <c r="A663" s="43" t="s">
        <v>82</v>
      </c>
      <c r="B663" s="44" t="s">
        <v>86</v>
      </c>
      <c r="C663" s="42">
        <f>VLOOKUP(Tabela13[[#This Row],[Origem]],Tabela1[],2,FALSE)</f>
        <v>82</v>
      </c>
      <c r="D663" s="42">
        <f>VLOOKUP(Tabela13[[#This Row],[Destino]],Tabela1[],2,FALSE)</f>
        <v>86</v>
      </c>
      <c r="E663" s="51" t="s">
        <v>638</v>
      </c>
      <c r="F663" s="52" t="s">
        <v>1152</v>
      </c>
      <c r="H663" s="42" t="str">
        <f t="shared" si="20"/>
        <v>Rua da Batata Frita_Rua Dr. Thouzet</v>
      </c>
      <c r="I663" s="42">
        <f t="shared" si="21"/>
        <v>1</v>
      </c>
      <c r="J663" s="53">
        <f>COUNTIFS(H$2:H663, H663)-1</f>
        <v>17</v>
      </c>
      <c r="K663" s="42" cm="1">
        <f t="array" ref="K663">IF(I663=1,
    J663,
    MAX(IF(H:H=H663, J:J)) - J663
)</f>
        <v>17</v>
      </c>
    </row>
    <row r="664" spans="1:11" x14ac:dyDescent="0.2">
      <c r="A664" s="43" t="s">
        <v>82</v>
      </c>
      <c r="B664" s="44" t="s">
        <v>86</v>
      </c>
      <c r="C664" s="42">
        <f>VLOOKUP(Tabela13[[#This Row],[Origem]],Tabela1[],2,FALSE)</f>
        <v>82</v>
      </c>
      <c r="D664" s="42">
        <f>VLOOKUP(Tabela13[[#This Row],[Destino]],Tabela1[],2,FALSE)</f>
        <v>86</v>
      </c>
      <c r="E664" s="51" t="s">
        <v>639</v>
      </c>
      <c r="F664" s="52" t="s">
        <v>1153</v>
      </c>
      <c r="H664" s="42" t="str">
        <f t="shared" si="20"/>
        <v>Rua da Batata Frita_Rua Dr. Thouzet</v>
      </c>
      <c r="I664" s="42">
        <f t="shared" si="21"/>
        <v>1</v>
      </c>
      <c r="J664" s="53">
        <f>COUNTIFS(H$2:H664, H664)-1</f>
        <v>18</v>
      </c>
      <c r="K664" s="42" cm="1">
        <f t="array" ref="K664">IF(I664=1,
    J664,
    MAX(IF(H:H=H664, J:J)) - J664
)</f>
        <v>18</v>
      </c>
    </row>
    <row r="665" spans="1:11" x14ac:dyDescent="0.2">
      <c r="A665" s="43" t="s">
        <v>82</v>
      </c>
      <c r="B665" s="44" t="s">
        <v>86</v>
      </c>
      <c r="C665" s="42">
        <f>VLOOKUP(Tabela13[[#This Row],[Origem]],Tabela1[],2,FALSE)</f>
        <v>82</v>
      </c>
      <c r="D665" s="42">
        <f>VLOOKUP(Tabela13[[#This Row],[Destino]],Tabela1[],2,FALSE)</f>
        <v>86</v>
      </c>
      <c r="E665" s="51" t="s">
        <v>640</v>
      </c>
      <c r="F665" s="52" t="s">
        <v>1154</v>
      </c>
      <c r="H665" s="42" t="str">
        <f t="shared" si="20"/>
        <v>Rua da Batata Frita_Rua Dr. Thouzet</v>
      </c>
      <c r="I665" s="42">
        <f t="shared" si="21"/>
        <v>1</v>
      </c>
      <c r="J665" s="53">
        <f>COUNTIFS(H$2:H665, H665)-1</f>
        <v>19</v>
      </c>
      <c r="K665" s="42" cm="1">
        <f t="array" ref="K665">IF(I665=1,
    J665,
    MAX(IF(H:H=H665, J:J)) - J665
)</f>
        <v>19</v>
      </c>
    </row>
    <row r="666" spans="1:11" x14ac:dyDescent="0.2">
      <c r="A666" s="43" t="s">
        <v>83</v>
      </c>
      <c r="B666" s="44" t="s">
        <v>97</v>
      </c>
      <c r="C666" s="42">
        <f>VLOOKUP(Tabela13[[#This Row],[Origem]],Tabela1[],2,FALSE)</f>
        <v>83</v>
      </c>
      <c r="D666" s="42">
        <f>VLOOKUP(Tabela13[[#This Row],[Destino]],Tabela1[],2,FALSE)</f>
        <v>97</v>
      </c>
      <c r="E666" s="51" t="s">
        <v>641</v>
      </c>
      <c r="F666" s="52" t="s">
        <v>1155</v>
      </c>
      <c r="H666" s="42" t="str">
        <f t="shared" si="20"/>
        <v>Rua da Feira_Rua Visconde do Bom Retiro</v>
      </c>
      <c r="I666" s="42">
        <f t="shared" si="21"/>
        <v>1</v>
      </c>
      <c r="J666" s="53">
        <f>COUNTIFS(H$2:H666, H666)-1</f>
        <v>0</v>
      </c>
      <c r="K666" s="42" cm="1">
        <f t="array" ref="K666">IF(I666=1,
    J666,
    MAX(IF(H:H=H666, J:J)) - J666
)</f>
        <v>0</v>
      </c>
    </row>
    <row r="667" spans="1:11" x14ac:dyDescent="0.2">
      <c r="A667" s="43" t="s">
        <v>83</v>
      </c>
      <c r="B667" s="44" t="s">
        <v>97</v>
      </c>
      <c r="C667" s="42">
        <f>VLOOKUP(Tabela13[[#This Row],[Origem]],Tabela1[],2,FALSE)</f>
        <v>83</v>
      </c>
      <c r="D667" s="42">
        <f>VLOOKUP(Tabela13[[#This Row],[Destino]],Tabela1[],2,FALSE)</f>
        <v>97</v>
      </c>
      <c r="E667" s="51" t="s">
        <v>446</v>
      </c>
      <c r="F667" s="52" t="s">
        <v>1156</v>
      </c>
      <c r="H667" s="42" t="str">
        <f t="shared" si="20"/>
        <v>Rua da Feira_Rua Visconde do Bom Retiro</v>
      </c>
      <c r="I667" s="42">
        <f t="shared" si="21"/>
        <v>1</v>
      </c>
      <c r="J667" s="53">
        <f>COUNTIFS(H$2:H667, H667)-1</f>
        <v>1</v>
      </c>
      <c r="K667" s="42" cm="1">
        <f t="array" ref="K667">IF(I667=1,
    J667,
    MAX(IF(H:H=H667, J:J)) - J667
)</f>
        <v>1</v>
      </c>
    </row>
    <row r="668" spans="1:11" x14ac:dyDescent="0.2">
      <c r="A668" s="43" t="s">
        <v>83</v>
      </c>
      <c r="B668" s="44" t="s">
        <v>97</v>
      </c>
      <c r="C668" s="42">
        <f>VLOOKUP(Tabela13[[#This Row],[Origem]],Tabela1[],2,FALSE)</f>
        <v>83</v>
      </c>
      <c r="D668" s="42">
        <f>VLOOKUP(Tabela13[[#This Row],[Destino]],Tabela1[],2,FALSE)</f>
        <v>97</v>
      </c>
      <c r="E668" s="51" t="s">
        <v>642</v>
      </c>
      <c r="F668" s="52" t="s">
        <v>1157</v>
      </c>
      <c r="H668" s="42" t="str">
        <f t="shared" si="20"/>
        <v>Rua da Feira_Rua Visconde do Bom Retiro</v>
      </c>
      <c r="I668" s="42">
        <f t="shared" si="21"/>
        <v>1</v>
      </c>
      <c r="J668" s="53">
        <f>COUNTIFS(H$2:H668, H668)-1</f>
        <v>2</v>
      </c>
      <c r="K668" s="42" cm="1">
        <f t="array" ref="K668">IF(I668=1,
    J668,
    MAX(IF(H:H=H668, J:J)) - J668
)</f>
        <v>2</v>
      </c>
    </row>
    <row r="669" spans="1:11" x14ac:dyDescent="0.2">
      <c r="A669" s="43" t="s">
        <v>83</v>
      </c>
      <c r="B669" s="44" t="s">
        <v>97</v>
      </c>
      <c r="C669" s="42">
        <f>VLOOKUP(Tabela13[[#This Row],[Origem]],Tabela1[],2,FALSE)</f>
        <v>83</v>
      </c>
      <c r="D669" s="42">
        <f>VLOOKUP(Tabela13[[#This Row],[Destino]],Tabela1[],2,FALSE)</f>
        <v>97</v>
      </c>
      <c r="E669" s="51" t="s">
        <v>643</v>
      </c>
      <c r="F669" s="52" t="s">
        <v>1158</v>
      </c>
      <c r="H669" s="42" t="str">
        <f t="shared" si="20"/>
        <v>Rua da Feira_Rua Visconde do Bom Retiro</v>
      </c>
      <c r="I669" s="42">
        <f t="shared" si="21"/>
        <v>1</v>
      </c>
      <c r="J669" s="53">
        <f>COUNTIFS(H$2:H669, H669)-1</f>
        <v>3</v>
      </c>
      <c r="K669" s="42" cm="1">
        <f t="array" ref="K669">IF(I669=1,
    J669,
    MAX(IF(H:H=H669, J:J)) - J669
)</f>
        <v>3</v>
      </c>
    </row>
    <row r="670" spans="1:11" x14ac:dyDescent="0.2">
      <c r="A670" s="43" t="s">
        <v>83</v>
      </c>
      <c r="B670" s="44" t="s">
        <v>97</v>
      </c>
      <c r="C670" s="42">
        <f>VLOOKUP(Tabela13[[#This Row],[Origem]],Tabela1[],2,FALSE)</f>
        <v>83</v>
      </c>
      <c r="D670" s="42">
        <f>VLOOKUP(Tabela13[[#This Row],[Destino]],Tabela1[],2,FALSE)</f>
        <v>97</v>
      </c>
      <c r="E670" s="51" t="s">
        <v>644</v>
      </c>
      <c r="F670" s="52" t="s">
        <v>1159</v>
      </c>
      <c r="H670" s="42" t="str">
        <f t="shared" si="20"/>
        <v>Rua da Feira_Rua Visconde do Bom Retiro</v>
      </c>
      <c r="I670" s="42">
        <f t="shared" si="21"/>
        <v>1</v>
      </c>
      <c r="J670" s="53">
        <f>COUNTIFS(H$2:H670, H670)-1</f>
        <v>4</v>
      </c>
      <c r="K670" s="42" cm="1">
        <f t="array" ref="K670">IF(I670=1,
    J670,
    MAX(IF(H:H=H670, J:J)) - J670
)</f>
        <v>4</v>
      </c>
    </row>
    <row r="671" spans="1:11" x14ac:dyDescent="0.2">
      <c r="A671" s="43" t="s">
        <v>83</v>
      </c>
      <c r="B671" s="44" t="s">
        <v>97</v>
      </c>
      <c r="C671" s="42">
        <f>VLOOKUP(Tabela13[[#This Row],[Origem]],Tabela1[],2,FALSE)</f>
        <v>83</v>
      </c>
      <c r="D671" s="42">
        <f>VLOOKUP(Tabela13[[#This Row],[Destino]],Tabela1[],2,FALSE)</f>
        <v>97</v>
      </c>
      <c r="E671" s="51" t="s">
        <v>645</v>
      </c>
      <c r="F671" s="52" t="s">
        <v>1160</v>
      </c>
      <c r="H671" s="42" t="str">
        <f t="shared" si="20"/>
        <v>Rua da Feira_Rua Visconde do Bom Retiro</v>
      </c>
      <c r="I671" s="42">
        <f t="shared" si="21"/>
        <v>1</v>
      </c>
      <c r="J671" s="53">
        <f>COUNTIFS(H$2:H671, H671)-1</f>
        <v>5</v>
      </c>
      <c r="K671" s="42" cm="1">
        <f t="array" ref="K671">IF(I671=1,
    J671,
    MAX(IF(H:H=H671, J:J)) - J671
)</f>
        <v>5</v>
      </c>
    </row>
    <row r="672" spans="1:11" x14ac:dyDescent="0.2">
      <c r="A672" s="43" t="s">
        <v>83</v>
      </c>
      <c r="B672" s="44" t="s">
        <v>97</v>
      </c>
      <c r="C672" s="42">
        <f>VLOOKUP(Tabela13[[#This Row],[Origem]],Tabela1[],2,FALSE)</f>
        <v>83</v>
      </c>
      <c r="D672" s="42">
        <f>VLOOKUP(Tabela13[[#This Row],[Destino]],Tabela1[],2,FALSE)</f>
        <v>97</v>
      </c>
      <c r="E672" s="51" t="s">
        <v>645</v>
      </c>
      <c r="F672" s="52" t="s">
        <v>1160</v>
      </c>
      <c r="H672" s="42" t="str">
        <f t="shared" si="20"/>
        <v>Rua da Feira_Rua Visconde do Bom Retiro</v>
      </c>
      <c r="I672" s="42">
        <f t="shared" si="21"/>
        <v>1</v>
      </c>
      <c r="J672" s="53">
        <f>COUNTIFS(H$2:H672, H672)-1</f>
        <v>6</v>
      </c>
      <c r="K672" s="42" cm="1">
        <f t="array" ref="K672">IF(I672=1,
    J672,
    MAX(IF(H:H=H672, J:J)) - J672
)</f>
        <v>6</v>
      </c>
    </row>
    <row r="673" spans="1:11" x14ac:dyDescent="0.2">
      <c r="A673" s="43" t="s">
        <v>83</v>
      </c>
      <c r="B673" s="44" t="s">
        <v>97</v>
      </c>
      <c r="C673" s="42">
        <f>VLOOKUP(Tabela13[[#This Row],[Origem]],Tabela1[],2,FALSE)</f>
        <v>83</v>
      </c>
      <c r="D673" s="42">
        <f>VLOOKUP(Tabela13[[#This Row],[Destino]],Tabela1[],2,FALSE)</f>
        <v>97</v>
      </c>
      <c r="E673" s="51" t="s">
        <v>646</v>
      </c>
      <c r="F673" s="52" t="s">
        <v>1161</v>
      </c>
      <c r="H673" s="42" t="str">
        <f t="shared" si="20"/>
        <v>Rua da Feira_Rua Visconde do Bom Retiro</v>
      </c>
      <c r="I673" s="42">
        <f t="shared" si="21"/>
        <v>1</v>
      </c>
      <c r="J673" s="53">
        <f>COUNTIFS(H$2:H673, H673)-1</f>
        <v>7</v>
      </c>
      <c r="K673" s="42" cm="1">
        <f t="array" ref="K673">IF(I673=1,
    J673,
    MAX(IF(H:H=H673, J:J)) - J673
)</f>
        <v>7</v>
      </c>
    </row>
    <row r="674" spans="1:11" x14ac:dyDescent="0.2">
      <c r="A674" s="43" t="s">
        <v>83</v>
      </c>
      <c r="B674" s="44" t="s">
        <v>97</v>
      </c>
      <c r="C674" s="42">
        <f>VLOOKUP(Tabela13[[#This Row],[Origem]],Tabela1[],2,FALSE)</f>
        <v>83</v>
      </c>
      <c r="D674" s="42">
        <f>VLOOKUP(Tabela13[[#This Row],[Destino]],Tabela1[],2,FALSE)</f>
        <v>97</v>
      </c>
      <c r="E674" s="51" t="s">
        <v>647</v>
      </c>
      <c r="F674" s="52" t="s">
        <v>1162</v>
      </c>
      <c r="H674" s="42" t="str">
        <f t="shared" si="20"/>
        <v>Rua da Feira_Rua Visconde do Bom Retiro</v>
      </c>
      <c r="I674" s="42">
        <f t="shared" si="21"/>
        <v>1</v>
      </c>
      <c r="J674" s="53">
        <f>COUNTIFS(H$2:H674, H674)-1</f>
        <v>8</v>
      </c>
      <c r="K674" s="42" cm="1">
        <f t="array" ref="K674">IF(I674=1,
    J674,
    MAX(IF(H:H=H674, J:J)) - J674
)</f>
        <v>8</v>
      </c>
    </row>
    <row r="675" spans="1:11" hidden="1" x14ac:dyDescent="0.2">
      <c r="A675" s="43" t="s">
        <v>83</v>
      </c>
      <c r="B675" s="44" t="s">
        <v>80</v>
      </c>
      <c r="C675" s="42">
        <f>VLOOKUP(Tabela13[[#This Row],[Origem]],Tabela1[],2,FALSE)</f>
        <v>83</v>
      </c>
      <c r="D675" s="42">
        <f>VLOOKUP(Tabela13[[#This Row],[Destino]],Tabela1[],2,FALSE)</f>
        <v>80</v>
      </c>
      <c r="E675" s="51" t="s">
        <v>188</v>
      </c>
      <c r="F675" s="52" t="s">
        <v>189</v>
      </c>
      <c r="H675" s="42" t="str">
        <f t="shared" si="20"/>
        <v>Rua Caldas Viana_Rua da Feira</v>
      </c>
      <c r="I675" s="42">
        <f t="shared" si="21"/>
        <v>-1</v>
      </c>
      <c r="J675" s="53">
        <f>COUNTIFS(H$2:H675, H675)-1</f>
        <v>0</v>
      </c>
      <c r="K675" s="42" cm="1">
        <f t="array" ref="K675">IF(I675=1,
    J675,
    MAX(IF(H:H=H675, J:J)) - J675
)</f>
        <v>0</v>
      </c>
    </row>
    <row r="676" spans="1:11" hidden="1" x14ac:dyDescent="0.2">
      <c r="A676" s="43" t="s">
        <v>84</v>
      </c>
      <c r="B676" s="44" t="s">
        <v>62</v>
      </c>
      <c r="C676" s="42">
        <f>VLOOKUP(Tabela13[[#This Row],[Origem]],Tabela1[],2,FALSE)</f>
        <v>84</v>
      </c>
      <c r="D676" s="42">
        <f>VLOOKUP(Tabela13[[#This Row],[Destino]],Tabela1[],2,FALSE)</f>
        <v>62</v>
      </c>
      <c r="E676" s="51" t="s">
        <v>188</v>
      </c>
      <c r="F676" s="52" t="s">
        <v>189</v>
      </c>
      <c r="H676" s="42" t="str">
        <f t="shared" si="20"/>
        <v>Praça da Águia_Rua da Imperatiz</v>
      </c>
      <c r="I676" s="42">
        <f t="shared" si="21"/>
        <v>-1</v>
      </c>
      <c r="J676" s="53">
        <f>COUNTIFS(H$2:H676, H676)-1</f>
        <v>0</v>
      </c>
      <c r="K676" s="42" cm="1">
        <f t="array" ref="K676">IF(I676=1,
    J676,
    MAX(IF(H:H=H676, J:J)) - J676
)</f>
        <v>0</v>
      </c>
    </row>
    <row r="677" spans="1:11" x14ac:dyDescent="0.2">
      <c r="A677" s="43" t="s">
        <v>85</v>
      </c>
      <c r="B677" s="44" t="s">
        <v>64</v>
      </c>
      <c r="C677" s="42">
        <f>VLOOKUP(Tabela13[[#This Row],[Origem]],Tabela1[],2,FALSE)</f>
        <v>85</v>
      </c>
      <c r="D677" s="42">
        <f>VLOOKUP(Tabela13[[#This Row],[Destino]],Tabela1[],2,FALSE)</f>
        <v>64</v>
      </c>
      <c r="E677" s="51" t="s">
        <v>648</v>
      </c>
      <c r="F677" s="52" t="s">
        <v>1163</v>
      </c>
      <c r="H677" s="42" t="str">
        <f t="shared" si="20"/>
        <v>Praça da Liberdade_Rua Dr. Nelson de Sá Erp</v>
      </c>
      <c r="I677" s="42">
        <f t="shared" si="21"/>
        <v>-1</v>
      </c>
      <c r="J677" s="53">
        <f>COUNTIFS(H$2:H677, H677)-1</f>
        <v>0</v>
      </c>
      <c r="K677" s="42" cm="1">
        <f t="array" ref="K677">IF(I677=1,
    J677,
    MAX(IF(H:H=H677, J:J)) - J677
)</f>
        <v>2</v>
      </c>
    </row>
    <row r="678" spans="1:11" x14ac:dyDescent="0.2">
      <c r="A678" s="43" t="s">
        <v>85</v>
      </c>
      <c r="B678" s="44" t="s">
        <v>64</v>
      </c>
      <c r="C678" s="42">
        <f>VLOOKUP(Tabela13[[#This Row],[Origem]],Tabela1[],2,FALSE)</f>
        <v>85</v>
      </c>
      <c r="D678" s="42">
        <f>VLOOKUP(Tabela13[[#This Row],[Destino]],Tabela1[],2,FALSE)</f>
        <v>64</v>
      </c>
      <c r="E678" s="51" t="s">
        <v>225</v>
      </c>
      <c r="F678" s="52" t="s">
        <v>1164</v>
      </c>
      <c r="H678" s="42" t="str">
        <f t="shared" si="20"/>
        <v>Praça da Liberdade_Rua Dr. Nelson de Sá Erp</v>
      </c>
      <c r="I678" s="42">
        <f t="shared" si="21"/>
        <v>-1</v>
      </c>
      <c r="J678" s="53">
        <f>COUNTIFS(H$2:H678, H678)-1</f>
        <v>1</v>
      </c>
      <c r="K678" s="42" cm="1">
        <f t="array" ref="K678">IF(I678=1,
    J678,
    MAX(IF(H:H=H678, J:J)) - J678
)</f>
        <v>1</v>
      </c>
    </row>
    <row r="679" spans="1:11" x14ac:dyDescent="0.2">
      <c r="A679" s="43" t="s">
        <v>85</v>
      </c>
      <c r="B679" s="44" t="s">
        <v>64</v>
      </c>
      <c r="C679" s="42">
        <f>VLOOKUP(Tabela13[[#This Row],[Origem]],Tabela1[],2,FALSE)</f>
        <v>85</v>
      </c>
      <c r="D679" s="42">
        <f>VLOOKUP(Tabela13[[#This Row],[Destino]],Tabela1[],2,FALSE)</f>
        <v>64</v>
      </c>
      <c r="E679" s="51" t="s">
        <v>649</v>
      </c>
      <c r="F679" s="52" t="s">
        <v>1165</v>
      </c>
      <c r="H679" s="42" t="str">
        <f t="shared" si="20"/>
        <v>Praça da Liberdade_Rua Dr. Nelson de Sá Erp</v>
      </c>
      <c r="I679" s="42">
        <f t="shared" si="21"/>
        <v>-1</v>
      </c>
      <c r="J679" s="53">
        <f>COUNTIFS(H$2:H679, H679)-1</f>
        <v>2</v>
      </c>
      <c r="K679" s="42" cm="1">
        <f t="array" ref="K679">IF(I679=1,
    J679,
    MAX(IF(H:H=H679, J:J)) - J679
)</f>
        <v>0</v>
      </c>
    </row>
    <row r="680" spans="1:11" x14ac:dyDescent="0.2">
      <c r="A680" s="43" t="s">
        <v>86</v>
      </c>
      <c r="B680" s="44" t="s">
        <v>43</v>
      </c>
      <c r="C680" s="42">
        <f>VLOOKUP(Tabela13[[#This Row],[Origem]],Tabela1[],2,FALSE)</f>
        <v>86</v>
      </c>
      <c r="D680" s="42">
        <f>VLOOKUP(Tabela13[[#This Row],[Destino]],Tabela1[],2,FALSE)</f>
        <v>43</v>
      </c>
      <c r="E680" s="51" t="s">
        <v>467</v>
      </c>
      <c r="F680" s="52" t="s">
        <v>979</v>
      </c>
      <c r="H680" s="42" t="str">
        <f t="shared" si="20"/>
        <v>Lago do Quitandinha_Rua Dr. Thouzet</v>
      </c>
      <c r="I680" s="42">
        <f t="shared" si="21"/>
        <v>-1</v>
      </c>
      <c r="J680" s="53">
        <f>COUNTIFS(H$2:H680, H680)-1</f>
        <v>10</v>
      </c>
      <c r="K680" s="42" cm="1">
        <f t="array" ref="K680">IF(I680=1,
    J680,
    MAX(IF(H:H=H680, J:J)) - J680
)</f>
        <v>9</v>
      </c>
    </row>
    <row r="681" spans="1:11" x14ac:dyDescent="0.2">
      <c r="A681" s="43" t="s">
        <v>86</v>
      </c>
      <c r="B681" s="44" t="s">
        <v>43</v>
      </c>
      <c r="C681" s="42">
        <f>VLOOKUP(Tabela13[[#This Row],[Origem]],Tabela1[],2,FALSE)</f>
        <v>86</v>
      </c>
      <c r="D681" s="42">
        <f>VLOOKUP(Tabela13[[#This Row],[Destino]],Tabela1[],2,FALSE)</f>
        <v>43</v>
      </c>
      <c r="E681" s="51" t="s">
        <v>468</v>
      </c>
      <c r="F681" s="52" t="s">
        <v>980</v>
      </c>
      <c r="H681" s="42" t="str">
        <f t="shared" si="20"/>
        <v>Lago do Quitandinha_Rua Dr. Thouzet</v>
      </c>
      <c r="I681" s="42">
        <f t="shared" si="21"/>
        <v>-1</v>
      </c>
      <c r="J681" s="53">
        <f>COUNTIFS(H$2:H681, H681)-1</f>
        <v>11</v>
      </c>
      <c r="K681" s="42" cm="1">
        <f t="array" ref="K681">IF(I681=1,
    J681,
    MAX(IF(H:H=H681, J:J)) - J681
)</f>
        <v>8</v>
      </c>
    </row>
    <row r="682" spans="1:11" x14ac:dyDescent="0.2">
      <c r="A682" s="43" t="s">
        <v>86</v>
      </c>
      <c r="B682" s="44" t="s">
        <v>43</v>
      </c>
      <c r="C682" s="42">
        <f>VLOOKUP(Tabela13[[#This Row],[Origem]],Tabela1[],2,FALSE)</f>
        <v>86</v>
      </c>
      <c r="D682" s="42">
        <f>VLOOKUP(Tabela13[[#This Row],[Destino]],Tabela1[],2,FALSE)</f>
        <v>43</v>
      </c>
      <c r="E682" s="51" t="s">
        <v>469</v>
      </c>
      <c r="F682" s="52" t="s">
        <v>981</v>
      </c>
      <c r="H682" s="42" t="str">
        <f t="shared" si="20"/>
        <v>Lago do Quitandinha_Rua Dr. Thouzet</v>
      </c>
      <c r="I682" s="42">
        <f t="shared" si="21"/>
        <v>-1</v>
      </c>
      <c r="J682" s="53">
        <f>COUNTIFS(H$2:H682, H682)-1</f>
        <v>12</v>
      </c>
      <c r="K682" s="42" cm="1">
        <f t="array" ref="K682">IF(I682=1,
    J682,
    MAX(IF(H:H=H682, J:J)) - J682
)</f>
        <v>7</v>
      </c>
    </row>
    <row r="683" spans="1:11" x14ac:dyDescent="0.2">
      <c r="A683" s="43" t="s">
        <v>86</v>
      </c>
      <c r="B683" s="44" t="s">
        <v>43</v>
      </c>
      <c r="C683" s="42">
        <f>VLOOKUP(Tabela13[[#This Row],[Origem]],Tabela1[],2,FALSE)</f>
        <v>86</v>
      </c>
      <c r="D683" s="42">
        <f>VLOOKUP(Tabela13[[#This Row],[Destino]],Tabela1[],2,FALSE)</f>
        <v>43</v>
      </c>
      <c r="E683" s="51" t="s">
        <v>470</v>
      </c>
      <c r="F683" s="52" t="s">
        <v>982</v>
      </c>
      <c r="H683" s="42" t="str">
        <f t="shared" si="20"/>
        <v>Lago do Quitandinha_Rua Dr. Thouzet</v>
      </c>
      <c r="I683" s="42">
        <f t="shared" si="21"/>
        <v>-1</v>
      </c>
      <c r="J683" s="53">
        <f>COUNTIFS(H$2:H683, H683)-1</f>
        <v>13</v>
      </c>
      <c r="K683" s="42" cm="1">
        <f t="array" ref="K683">IF(I683=1,
    J683,
    MAX(IF(H:H=H683, J:J)) - J683
)</f>
        <v>6</v>
      </c>
    </row>
    <row r="684" spans="1:11" x14ac:dyDescent="0.2">
      <c r="A684" s="43" t="s">
        <v>86</v>
      </c>
      <c r="B684" s="44" t="s">
        <v>43</v>
      </c>
      <c r="C684" s="42">
        <f>VLOOKUP(Tabela13[[#This Row],[Origem]],Tabela1[],2,FALSE)</f>
        <v>86</v>
      </c>
      <c r="D684" s="42">
        <f>VLOOKUP(Tabela13[[#This Row],[Destino]],Tabela1[],2,FALSE)</f>
        <v>43</v>
      </c>
      <c r="E684" s="51" t="s">
        <v>471</v>
      </c>
      <c r="F684" s="52" t="s">
        <v>983</v>
      </c>
      <c r="H684" s="42" t="str">
        <f t="shared" si="20"/>
        <v>Lago do Quitandinha_Rua Dr. Thouzet</v>
      </c>
      <c r="I684" s="42">
        <f t="shared" si="21"/>
        <v>-1</v>
      </c>
      <c r="J684" s="53">
        <f>COUNTIFS(H$2:H684, H684)-1</f>
        <v>14</v>
      </c>
      <c r="K684" s="42" cm="1">
        <f t="array" ref="K684">IF(I684=1,
    J684,
    MAX(IF(H:H=H684, J:J)) - J684
)</f>
        <v>5</v>
      </c>
    </row>
    <row r="685" spans="1:11" x14ac:dyDescent="0.2">
      <c r="A685" s="43" t="s">
        <v>86</v>
      </c>
      <c r="B685" s="44" t="s">
        <v>43</v>
      </c>
      <c r="C685" s="42">
        <f>VLOOKUP(Tabela13[[#This Row],[Origem]],Tabela1[],2,FALSE)</f>
        <v>86</v>
      </c>
      <c r="D685" s="42">
        <f>VLOOKUP(Tabela13[[#This Row],[Destino]],Tabela1[],2,FALSE)</f>
        <v>43</v>
      </c>
      <c r="E685" s="51" t="s">
        <v>472</v>
      </c>
      <c r="F685" s="52" t="s">
        <v>984</v>
      </c>
      <c r="H685" s="42" t="str">
        <f t="shared" si="20"/>
        <v>Lago do Quitandinha_Rua Dr. Thouzet</v>
      </c>
      <c r="I685" s="42">
        <f t="shared" si="21"/>
        <v>-1</v>
      </c>
      <c r="J685" s="53">
        <f>COUNTIFS(H$2:H685, H685)-1</f>
        <v>15</v>
      </c>
      <c r="K685" s="42" cm="1">
        <f t="array" ref="K685">IF(I685=1,
    J685,
    MAX(IF(H:H=H685, J:J)) - J685
)</f>
        <v>4</v>
      </c>
    </row>
    <row r="686" spans="1:11" x14ac:dyDescent="0.2">
      <c r="A686" s="43" t="s">
        <v>86</v>
      </c>
      <c r="B686" s="44" t="s">
        <v>43</v>
      </c>
      <c r="C686" s="42">
        <f>VLOOKUP(Tabela13[[#This Row],[Origem]],Tabela1[],2,FALSE)</f>
        <v>86</v>
      </c>
      <c r="D686" s="42">
        <f>VLOOKUP(Tabela13[[#This Row],[Destino]],Tabela1[],2,FALSE)</f>
        <v>43</v>
      </c>
      <c r="E686" s="51" t="s">
        <v>473</v>
      </c>
      <c r="F686" s="52" t="s">
        <v>985</v>
      </c>
      <c r="H686" s="42" t="str">
        <f t="shared" si="20"/>
        <v>Lago do Quitandinha_Rua Dr. Thouzet</v>
      </c>
      <c r="I686" s="42">
        <f t="shared" si="21"/>
        <v>-1</v>
      </c>
      <c r="J686" s="53">
        <f>COUNTIFS(H$2:H686, H686)-1</f>
        <v>16</v>
      </c>
      <c r="K686" s="42" cm="1">
        <f t="array" ref="K686">IF(I686=1,
    J686,
    MAX(IF(H:H=H686, J:J)) - J686
)</f>
        <v>3</v>
      </c>
    </row>
    <row r="687" spans="1:11" x14ac:dyDescent="0.2">
      <c r="A687" s="43" t="s">
        <v>86</v>
      </c>
      <c r="B687" s="44" t="s">
        <v>43</v>
      </c>
      <c r="C687" s="42">
        <f>VLOOKUP(Tabela13[[#This Row],[Origem]],Tabela1[],2,FALSE)</f>
        <v>86</v>
      </c>
      <c r="D687" s="42">
        <f>VLOOKUP(Tabela13[[#This Row],[Destino]],Tabela1[],2,FALSE)</f>
        <v>43</v>
      </c>
      <c r="E687" s="51" t="s">
        <v>474</v>
      </c>
      <c r="F687" s="52" t="s">
        <v>986</v>
      </c>
      <c r="H687" s="42" t="str">
        <f t="shared" si="20"/>
        <v>Lago do Quitandinha_Rua Dr. Thouzet</v>
      </c>
      <c r="I687" s="42">
        <f t="shared" si="21"/>
        <v>-1</v>
      </c>
      <c r="J687" s="53">
        <f>COUNTIFS(H$2:H687, H687)-1</f>
        <v>17</v>
      </c>
      <c r="K687" s="42" cm="1">
        <f t="array" ref="K687">IF(I687=1,
    J687,
    MAX(IF(H:H=H687, J:J)) - J687
)</f>
        <v>2</v>
      </c>
    </row>
    <row r="688" spans="1:11" x14ac:dyDescent="0.2">
      <c r="A688" s="43" t="s">
        <v>86</v>
      </c>
      <c r="B688" s="44" t="s">
        <v>43</v>
      </c>
      <c r="C688" s="42">
        <f>VLOOKUP(Tabela13[[#This Row],[Origem]],Tabela1[],2,FALSE)</f>
        <v>86</v>
      </c>
      <c r="D688" s="42">
        <f>VLOOKUP(Tabela13[[#This Row],[Destino]],Tabela1[],2,FALSE)</f>
        <v>43</v>
      </c>
      <c r="E688" s="51" t="s">
        <v>475</v>
      </c>
      <c r="F688" s="52" t="s">
        <v>987</v>
      </c>
      <c r="H688" s="42" t="str">
        <f t="shared" si="20"/>
        <v>Lago do Quitandinha_Rua Dr. Thouzet</v>
      </c>
      <c r="I688" s="42">
        <f t="shared" si="21"/>
        <v>-1</v>
      </c>
      <c r="J688" s="53">
        <f>COUNTIFS(H$2:H688, H688)-1</f>
        <v>18</v>
      </c>
      <c r="K688" s="42" cm="1">
        <f t="array" ref="K688">IF(I688=1,
    J688,
    MAX(IF(H:H=H688, J:J)) - J688
)</f>
        <v>1</v>
      </c>
    </row>
    <row r="689" spans="1:11" x14ac:dyDescent="0.2">
      <c r="A689" s="43" t="s">
        <v>86</v>
      </c>
      <c r="B689" s="44" t="s">
        <v>43</v>
      </c>
      <c r="C689" s="42">
        <f>VLOOKUP(Tabela13[[#This Row],[Origem]],Tabela1[],2,FALSE)</f>
        <v>86</v>
      </c>
      <c r="D689" s="42">
        <f>VLOOKUP(Tabela13[[#This Row],[Destino]],Tabela1[],2,FALSE)</f>
        <v>43</v>
      </c>
      <c r="E689" s="51" t="s">
        <v>476</v>
      </c>
      <c r="F689" s="52" t="s">
        <v>988</v>
      </c>
      <c r="H689" s="42" t="str">
        <f t="shared" si="20"/>
        <v>Lago do Quitandinha_Rua Dr. Thouzet</v>
      </c>
      <c r="I689" s="42">
        <f t="shared" si="21"/>
        <v>-1</v>
      </c>
      <c r="J689" s="53">
        <f>COUNTIFS(H$2:H689, H689)-1</f>
        <v>19</v>
      </c>
      <c r="K689" s="42" cm="1">
        <f t="array" ref="K689">IF(I689=1,
    J689,
    MAX(IF(H:H=H689, J:J)) - J689
)</f>
        <v>0</v>
      </c>
    </row>
    <row r="690" spans="1:11" x14ac:dyDescent="0.2">
      <c r="A690" s="43" t="s">
        <v>86</v>
      </c>
      <c r="B690" s="44" t="s">
        <v>82</v>
      </c>
      <c r="C690" s="42">
        <f>VLOOKUP(Tabela13[[#This Row],[Origem]],Tabela1[],2,FALSE)</f>
        <v>86</v>
      </c>
      <c r="D690" s="42">
        <f>VLOOKUP(Tabela13[[#This Row],[Destino]],Tabela1[],2,FALSE)</f>
        <v>82</v>
      </c>
      <c r="E690" s="51" t="s">
        <v>622</v>
      </c>
      <c r="F690" s="52" t="s">
        <v>1136</v>
      </c>
      <c r="H690" s="42" t="str">
        <f t="shared" si="20"/>
        <v>Rua da Batata Frita_Rua Dr. Thouzet</v>
      </c>
      <c r="I690" s="42">
        <f t="shared" si="21"/>
        <v>-1</v>
      </c>
      <c r="J690" s="53">
        <f>COUNTIFS(H$2:H690, H690)-1</f>
        <v>20</v>
      </c>
      <c r="K690" s="42" cm="1">
        <f t="array" ref="K690">IF(I690=1,
    J690,
    MAX(IF(H:H=H690, J:J)) - J690
)</f>
        <v>19</v>
      </c>
    </row>
    <row r="691" spans="1:11" x14ac:dyDescent="0.2">
      <c r="A691" s="43" t="s">
        <v>86</v>
      </c>
      <c r="B691" s="44" t="s">
        <v>82</v>
      </c>
      <c r="C691" s="42">
        <f>VLOOKUP(Tabela13[[#This Row],[Origem]],Tabela1[],2,FALSE)</f>
        <v>86</v>
      </c>
      <c r="D691" s="42">
        <f>VLOOKUP(Tabela13[[#This Row],[Destino]],Tabela1[],2,FALSE)</f>
        <v>82</v>
      </c>
      <c r="E691" s="51" t="s">
        <v>623</v>
      </c>
      <c r="F691" s="52" t="s">
        <v>1137</v>
      </c>
      <c r="H691" s="42" t="str">
        <f t="shared" si="20"/>
        <v>Rua da Batata Frita_Rua Dr. Thouzet</v>
      </c>
      <c r="I691" s="42">
        <f t="shared" si="21"/>
        <v>-1</v>
      </c>
      <c r="J691" s="53">
        <f>COUNTIFS(H$2:H691, H691)-1</f>
        <v>21</v>
      </c>
      <c r="K691" s="42" cm="1">
        <f t="array" ref="K691">IF(I691=1,
    J691,
    MAX(IF(H:H=H691, J:J)) - J691
)</f>
        <v>18</v>
      </c>
    </row>
    <row r="692" spans="1:11" x14ac:dyDescent="0.2">
      <c r="A692" s="43" t="s">
        <v>86</v>
      </c>
      <c r="B692" s="44" t="s">
        <v>82</v>
      </c>
      <c r="C692" s="42">
        <f>VLOOKUP(Tabela13[[#This Row],[Origem]],Tabela1[],2,FALSE)</f>
        <v>86</v>
      </c>
      <c r="D692" s="42">
        <f>VLOOKUP(Tabela13[[#This Row],[Destino]],Tabela1[],2,FALSE)</f>
        <v>82</v>
      </c>
      <c r="E692" s="51" t="s">
        <v>624</v>
      </c>
      <c r="F692" s="52" t="s">
        <v>1138</v>
      </c>
      <c r="H692" s="42" t="str">
        <f t="shared" si="20"/>
        <v>Rua da Batata Frita_Rua Dr. Thouzet</v>
      </c>
      <c r="I692" s="42">
        <f t="shared" si="21"/>
        <v>-1</v>
      </c>
      <c r="J692" s="53">
        <f>COUNTIFS(H$2:H692, H692)-1</f>
        <v>22</v>
      </c>
      <c r="K692" s="42" cm="1">
        <f t="array" ref="K692">IF(I692=1,
    J692,
    MAX(IF(H:H=H692, J:J)) - J692
)</f>
        <v>17</v>
      </c>
    </row>
    <row r="693" spans="1:11" x14ac:dyDescent="0.2">
      <c r="A693" s="43" t="s">
        <v>86</v>
      </c>
      <c r="B693" s="44" t="s">
        <v>82</v>
      </c>
      <c r="C693" s="42">
        <f>VLOOKUP(Tabela13[[#This Row],[Origem]],Tabela1[],2,FALSE)</f>
        <v>86</v>
      </c>
      <c r="D693" s="42">
        <f>VLOOKUP(Tabela13[[#This Row],[Destino]],Tabela1[],2,FALSE)</f>
        <v>82</v>
      </c>
      <c r="E693" s="51" t="s">
        <v>625</v>
      </c>
      <c r="F693" s="52" t="s">
        <v>1139</v>
      </c>
      <c r="H693" s="42" t="str">
        <f t="shared" si="20"/>
        <v>Rua da Batata Frita_Rua Dr. Thouzet</v>
      </c>
      <c r="I693" s="42">
        <f t="shared" si="21"/>
        <v>-1</v>
      </c>
      <c r="J693" s="53">
        <f>COUNTIFS(H$2:H693, H693)-1</f>
        <v>23</v>
      </c>
      <c r="K693" s="42" cm="1">
        <f t="array" ref="K693">IF(I693=1,
    J693,
    MAX(IF(H:H=H693, J:J)) - J693
)</f>
        <v>16</v>
      </c>
    </row>
    <row r="694" spans="1:11" x14ac:dyDescent="0.2">
      <c r="A694" s="43" t="s">
        <v>86</v>
      </c>
      <c r="B694" s="44" t="s">
        <v>82</v>
      </c>
      <c r="C694" s="42">
        <f>VLOOKUP(Tabela13[[#This Row],[Origem]],Tabela1[],2,FALSE)</f>
        <v>86</v>
      </c>
      <c r="D694" s="42">
        <f>VLOOKUP(Tabela13[[#This Row],[Destino]],Tabela1[],2,FALSE)</f>
        <v>82</v>
      </c>
      <c r="E694" s="51" t="s">
        <v>626</v>
      </c>
      <c r="F694" s="52" t="s">
        <v>1140</v>
      </c>
      <c r="H694" s="42" t="str">
        <f t="shared" si="20"/>
        <v>Rua da Batata Frita_Rua Dr. Thouzet</v>
      </c>
      <c r="I694" s="42">
        <f t="shared" si="21"/>
        <v>-1</v>
      </c>
      <c r="J694" s="53">
        <f>COUNTIFS(H$2:H694, H694)-1</f>
        <v>24</v>
      </c>
      <c r="K694" s="42" cm="1">
        <f t="array" ref="K694">IF(I694=1,
    J694,
    MAX(IF(H:H=H694, J:J)) - J694
)</f>
        <v>15</v>
      </c>
    </row>
    <row r="695" spans="1:11" x14ac:dyDescent="0.2">
      <c r="A695" s="43" t="s">
        <v>86</v>
      </c>
      <c r="B695" s="44" t="s">
        <v>82</v>
      </c>
      <c r="C695" s="42">
        <f>VLOOKUP(Tabela13[[#This Row],[Origem]],Tabela1[],2,FALSE)</f>
        <v>86</v>
      </c>
      <c r="D695" s="42">
        <f>VLOOKUP(Tabela13[[#This Row],[Destino]],Tabela1[],2,FALSE)</f>
        <v>82</v>
      </c>
      <c r="E695" s="51" t="s">
        <v>627</v>
      </c>
      <c r="F695" s="52" t="s">
        <v>1141</v>
      </c>
      <c r="H695" s="42" t="str">
        <f t="shared" si="20"/>
        <v>Rua da Batata Frita_Rua Dr. Thouzet</v>
      </c>
      <c r="I695" s="42">
        <f t="shared" si="21"/>
        <v>-1</v>
      </c>
      <c r="J695" s="53">
        <f>COUNTIFS(H$2:H695, H695)-1</f>
        <v>25</v>
      </c>
      <c r="K695" s="42" cm="1">
        <f t="array" ref="K695">IF(I695=1,
    J695,
    MAX(IF(H:H=H695, J:J)) - J695
)</f>
        <v>14</v>
      </c>
    </row>
    <row r="696" spans="1:11" x14ac:dyDescent="0.2">
      <c r="A696" s="43" t="s">
        <v>86</v>
      </c>
      <c r="B696" s="44" t="s">
        <v>82</v>
      </c>
      <c r="C696" s="42">
        <f>VLOOKUP(Tabela13[[#This Row],[Origem]],Tabela1[],2,FALSE)</f>
        <v>86</v>
      </c>
      <c r="D696" s="42">
        <f>VLOOKUP(Tabela13[[#This Row],[Destino]],Tabela1[],2,FALSE)</f>
        <v>82</v>
      </c>
      <c r="E696" s="51" t="s">
        <v>628</v>
      </c>
      <c r="F696" s="52" t="s">
        <v>1142</v>
      </c>
      <c r="H696" s="42" t="str">
        <f t="shared" si="20"/>
        <v>Rua da Batata Frita_Rua Dr. Thouzet</v>
      </c>
      <c r="I696" s="42">
        <f t="shared" si="21"/>
        <v>-1</v>
      </c>
      <c r="J696" s="53">
        <f>COUNTIFS(H$2:H696, H696)-1</f>
        <v>26</v>
      </c>
      <c r="K696" s="42" cm="1">
        <f t="array" ref="K696">IF(I696=1,
    J696,
    MAX(IF(H:H=H696, J:J)) - J696
)</f>
        <v>13</v>
      </c>
    </row>
    <row r="697" spans="1:11" x14ac:dyDescent="0.2">
      <c r="A697" s="43" t="s">
        <v>86</v>
      </c>
      <c r="B697" s="44" t="s">
        <v>82</v>
      </c>
      <c r="C697" s="42">
        <f>VLOOKUP(Tabela13[[#This Row],[Origem]],Tabela1[],2,FALSE)</f>
        <v>86</v>
      </c>
      <c r="D697" s="42">
        <f>VLOOKUP(Tabela13[[#This Row],[Destino]],Tabela1[],2,FALSE)</f>
        <v>82</v>
      </c>
      <c r="E697" s="51" t="s">
        <v>629</v>
      </c>
      <c r="F697" s="52" t="s">
        <v>1143</v>
      </c>
      <c r="H697" s="42" t="str">
        <f t="shared" si="20"/>
        <v>Rua da Batata Frita_Rua Dr. Thouzet</v>
      </c>
      <c r="I697" s="42">
        <f t="shared" si="21"/>
        <v>-1</v>
      </c>
      <c r="J697" s="53">
        <f>COUNTIFS(H$2:H697, H697)-1</f>
        <v>27</v>
      </c>
      <c r="K697" s="42" cm="1">
        <f t="array" ref="K697">IF(I697=1,
    J697,
    MAX(IF(H:H=H697, J:J)) - J697
)</f>
        <v>12</v>
      </c>
    </row>
    <row r="698" spans="1:11" x14ac:dyDescent="0.2">
      <c r="A698" s="43" t="s">
        <v>86</v>
      </c>
      <c r="B698" s="44" t="s">
        <v>82</v>
      </c>
      <c r="C698" s="42">
        <f>VLOOKUP(Tabela13[[#This Row],[Origem]],Tabela1[],2,FALSE)</f>
        <v>86</v>
      </c>
      <c r="D698" s="42">
        <f>VLOOKUP(Tabela13[[#This Row],[Destino]],Tabela1[],2,FALSE)</f>
        <v>82</v>
      </c>
      <c r="E698" s="51" t="s">
        <v>630</v>
      </c>
      <c r="F698" s="52" t="s">
        <v>1144</v>
      </c>
      <c r="H698" s="42" t="str">
        <f t="shared" si="20"/>
        <v>Rua da Batata Frita_Rua Dr. Thouzet</v>
      </c>
      <c r="I698" s="42">
        <f t="shared" si="21"/>
        <v>-1</v>
      </c>
      <c r="J698" s="53">
        <f>COUNTIFS(H$2:H698, H698)-1</f>
        <v>28</v>
      </c>
      <c r="K698" s="42" cm="1">
        <f t="array" ref="K698">IF(I698=1,
    J698,
    MAX(IF(H:H=H698, J:J)) - J698
)</f>
        <v>11</v>
      </c>
    </row>
    <row r="699" spans="1:11" x14ac:dyDescent="0.2">
      <c r="A699" s="43" t="s">
        <v>86</v>
      </c>
      <c r="B699" s="44" t="s">
        <v>82</v>
      </c>
      <c r="C699" s="42">
        <f>VLOOKUP(Tabela13[[#This Row],[Origem]],Tabela1[],2,FALSE)</f>
        <v>86</v>
      </c>
      <c r="D699" s="42">
        <f>VLOOKUP(Tabela13[[#This Row],[Destino]],Tabela1[],2,FALSE)</f>
        <v>82</v>
      </c>
      <c r="E699" s="51" t="s">
        <v>631</v>
      </c>
      <c r="F699" s="52" t="s">
        <v>1145</v>
      </c>
      <c r="H699" s="42" t="str">
        <f t="shared" si="20"/>
        <v>Rua da Batata Frita_Rua Dr. Thouzet</v>
      </c>
      <c r="I699" s="42">
        <f t="shared" si="21"/>
        <v>-1</v>
      </c>
      <c r="J699" s="53">
        <f>COUNTIFS(H$2:H699, H699)-1</f>
        <v>29</v>
      </c>
      <c r="K699" s="42" cm="1">
        <f t="array" ref="K699">IF(I699=1,
    J699,
    MAX(IF(H:H=H699, J:J)) - J699
)</f>
        <v>10</v>
      </c>
    </row>
    <row r="700" spans="1:11" x14ac:dyDescent="0.2">
      <c r="A700" s="43" t="s">
        <v>86</v>
      </c>
      <c r="B700" s="44" t="s">
        <v>82</v>
      </c>
      <c r="C700" s="42">
        <f>VLOOKUP(Tabela13[[#This Row],[Origem]],Tabela1[],2,FALSE)</f>
        <v>86</v>
      </c>
      <c r="D700" s="42">
        <f>VLOOKUP(Tabela13[[#This Row],[Destino]],Tabela1[],2,FALSE)</f>
        <v>82</v>
      </c>
      <c r="E700" s="51" t="s">
        <v>632</v>
      </c>
      <c r="F700" s="52" t="s">
        <v>1146</v>
      </c>
      <c r="H700" s="42" t="str">
        <f t="shared" si="20"/>
        <v>Rua da Batata Frita_Rua Dr. Thouzet</v>
      </c>
      <c r="I700" s="42">
        <f t="shared" si="21"/>
        <v>-1</v>
      </c>
      <c r="J700" s="53">
        <f>COUNTIFS(H$2:H700, H700)-1</f>
        <v>30</v>
      </c>
      <c r="K700" s="42" cm="1">
        <f t="array" ref="K700">IF(I700=1,
    J700,
    MAX(IF(H:H=H700, J:J)) - J700
)</f>
        <v>9</v>
      </c>
    </row>
    <row r="701" spans="1:11" x14ac:dyDescent="0.2">
      <c r="A701" s="43" t="s">
        <v>86</v>
      </c>
      <c r="B701" s="44" t="s">
        <v>82</v>
      </c>
      <c r="C701" s="42">
        <f>VLOOKUP(Tabela13[[#This Row],[Origem]],Tabela1[],2,FALSE)</f>
        <v>86</v>
      </c>
      <c r="D701" s="42">
        <f>VLOOKUP(Tabela13[[#This Row],[Destino]],Tabela1[],2,FALSE)</f>
        <v>82</v>
      </c>
      <c r="E701" s="51" t="s">
        <v>633</v>
      </c>
      <c r="F701" s="52" t="s">
        <v>1147</v>
      </c>
      <c r="H701" s="42" t="str">
        <f t="shared" si="20"/>
        <v>Rua da Batata Frita_Rua Dr. Thouzet</v>
      </c>
      <c r="I701" s="42">
        <f t="shared" si="21"/>
        <v>-1</v>
      </c>
      <c r="J701" s="53">
        <f>COUNTIFS(H$2:H701, H701)-1</f>
        <v>31</v>
      </c>
      <c r="K701" s="42" cm="1">
        <f t="array" ref="K701">IF(I701=1,
    J701,
    MAX(IF(H:H=H701, J:J)) - J701
)</f>
        <v>8</v>
      </c>
    </row>
    <row r="702" spans="1:11" x14ac:dyDescent="0.2">
      <c r="A702" s="43" t="s">
        <v>86</v>
      </c>
      <c r="B702" s="44" t="s">
        <v>82</v>
      </c>
      <c r="C702" s="42">
        <f>VLOOKUP(Tabela13[[#This Row],[Origem]],Tabela1[],2,FALSE)</f>
        <v>86</v>
      </c>
      <c r="D702" s="42">
        <f>VLOOKUP(Tabela13[[#This Row],[Destino]],Tabela1[],2,FALSE)</f>
        <v>82</v>
      </c>
      <c r="E702" s="51" t="s">
        <v>634</v>
      </c>
      <c r="F702" s="52" t="s">
        <v>1148</v>
      </c>
      <c r="H702" s="42" t="str">
        <f t="shared" si="20"/>
        <v>Rua da Batata Frita_Rua Dr. Thouzet</v>
      </c>
      <c r="I702" s="42">
        <f t="shared" si="21"/>
        <v>-1</v>
      </c>
      <c r="J702" s="53">
        <f>COUNTIFS(H$2:H702, H702)-1</f>
        <v>32</v>
      </c>
      <c r="K702" s="42" cm="1">
        <f t="array" ref="K702">IF(I702=1,
    J702,
    MAX(IF(H:H=H702, J:J)) - J702
)</f>
        <v>7</v>
      </c>
    </row>
    <row r="703" spans="1:11" x14ac:dyDescent="0.2">
      <c r="A703" s="43" t="s">
        <v>86</v>
      </c>
      <c r="B703" s="44" t="s">
        <v>82</v>
      </c>
      <c r="C703" s="42">
        <f>VLOOKUP(Tabela13[[#This Row],[Origem]],Tabela1[],2,FALSE)</f>
        <v>86</v>
      </c>
      <c r="D703" s="42">
        <f>VLOOKUP(Tabela13[[#This Row],[Destino]],Tabela1[],2,FALSE)</f>
        <v>82</v>
      </c>
      <c r="E703" s="51" t="s">
        <v>635</v>
      </c>
      <c r="F703" s="52" t="s">
        <v>1149</v>
      </c>
      <c r="H703" s="42" t="str">
        <f t="shared" si="20"/>
        <v>Rua da Batata Frita_Rua Dr. Thouzet</v>
      </c>
      <c r="I703" s="42">
        <f t="shared" si="21"/>
        <v>-1</v>
      </c>
      <c r="J703" s="53">
        <f>COUNTIFS(H$2:H703, H703)-1</f>
        <v>33</v>
      </c>
      <c r="K703" s="42" cm="1">
        <f t="array" ref="K703">IF(I703=1,
    J703,
    MAX(IF(H:H=H703, J:J)) - J703
)</f>
        <v>6</v>
      </c>
    </row>
    <row r="704" spans="1:11" x14ac:dyDescent="0.2">
      <c r="A704" s="43" t="s">
        <v>86</v>
      </c>
      <c r="B704" s="44" t="s">
        <v>82</v>
      </c>
      <c r="C704" s="42">
        <f>VLOOKUP(Tabela13[[#This Row],[Origem]],Tabela1[],2,FALSE)</f>
        <v>86</v>
      </c>
      <c r="D704" s="42">
        <f>VLOOKUP(Tabela13[[#This Row],[Destino]],Tabela1[],2,FALSE)</f>
        <v>82</v>
      </c>
      <c r="E704" s="51" t="s">
        <v>308</v>
      </c>
      <c r="F704" s="52" t="s">
        <v>790</v>
      </c>
      <c r="H704" s="42" t="str">
        <f t="shared" si="20"/>
        <v>Rua da Batata Frita_Rua Dr. Thouzet</v>
      </c>
      <c r="I704" s="42">
        <f t="shared" si="21"/>
        <v>-1</v>
      </c>
      <c r="J704" s="53">
        <f>COUNTIFS(H$2:H704, H704)-1</f>
        <v>34</v>
      </c>
      <c r="K704" s="42" cm="1">
        <f t="array" ref="K704">IF(I704=1,
    J704,
    MAX(IF(H:H=H704, J:J)) - J704
)</f>
        <v>5</v>
      </c>
    </row>
    <row r="705" spans="1:11" x14ac:dyDescent="0.2">
      <c r="A705" s="43" t="s">
        <v>86</v>
      </c>
      <c r="B705" s="44" t="s">
        <v>82</v>
      </c>
      <c r="C705" s="42">
        <f>VLOOKUP(Tabela13[[#This Row],[Origem]],Tabela1[],2,FALSE)</f>
        <v>86</v>
      </c>
      <c r="D705" s="42">
        <f>VLOOKUP(Tabela13[[#This Row],[Destino]],Tabela1[],2,FALSE)</f>
        <v>82</v>
      </c>
      <c r="E705" s="51" t="s">
        <v>636</v>
      </c>
      <c r="F705" s="52" t="s">
        <v>1150</v>
      </c>
      <c r="H705" s="42" t="str">
        <f t="shared" si="20"/>
        <v>Rua da Batata Frita_Rua Dr. Thouzet</v>
      </c>
      <c r="I705" s="42">
        <f t="shared" si="21"/>
        <v>-1</v>
      </c>
      <c r="J705" s="53">
        <f>COUNTIFS(H$2:H705, H705)-1</f>
        <v>35</v>
      </c>
      <c r="K705" s="42" cm="1">
        <f t="array" ref="K705">IF(I705=1,
    J705,
    MAX(IF(H:H=H705, J:J)) - J705
)</f>
        <v>4</v>
      </c>
    </row>
    <row r="706" spans="1:11" x14ac:dyDescent="0.2">
      <c r="A706" s="43" t="s">
        <v>86</v>
      </c>
      <c r="B706" s="44" t="s">
        <v>82</v>
      </c>
      <c r="C706" s="42">
        <f>VLOOKUP(Tabela13[[#This Row],[Origem]],Tabela1[],2,FALSE)</f>
        <v>86</v>
      </c>
      <c r="D706" s="42">
        <f>VLOOKUP(Tabela13[[#This Row],[Destino]],Tabela1[],2,FALSE)</f>
        <v>82</v>
      </c>
      <c r="E706" s="51" t="s">
        <v>637</v>
      </c>
      <c r="F706" s="52" t="s">
        <v>1151</v>
      </c>
      <c r="H706" s="42" t="str">
        <f t="shared" ref="H706:H769" si="22">IF(A706&lt;B706, A706&amp;"_"&amp;B706, B706&amp;"_"&amp;A706)</f>
        <v>Rua da Batata Frita_Rua Dr. Thouzet</v>
      </c>
      <c r="I706" s="42">
        <f t="shared" ref="I706:I769" si="23">IF(A706&lt;B706, 1, -1)</f>
        <v>-1</v>
      </c>
      <c r="J706" s="53">
        <f>COUNTIFS(H$2:H706, H706)-1</f>
        <v>36</v>
      </c>
      <c r="K706" s="42" cm="1">
        <f t="array" ref="K706">IF(I706=1,
    J706,
    MAX(IF(H:H=H706, J:J)) - J706
)</f>
        <v>3</v>
      </c>
    </row>
    <row r="707" spans="1:11" x14ac:dyDescent="0.2">
      <c r="A707" s="43" t="s">
        <v>86</v>
      </c>
      <c r="B707" s="44" t="s">
        <v>82</v>
      </c>
      <c r="C707" s="42">
        <f>VLOOKUP(Tabela13[[#This Row],[Origem]],Tabela1[],2,FALSE)</f>
        <v>86</v>
      </c>
      <c r="D707" s="42">
        <f>VLOOKUP(Tabela13[[#This Row],[Destino]],Tabela1[],2,FALSE)</f>
        <v>82</v>
      </c>
      <c r="E707" s="51" t="s">
        <v>638</v>
      </c>
      <c r="F707" s="52" t="s">
        <v>1152</v>
      </c>
      <c r="H707" s="42" t="str">
        <f t="shared" si="22"/>
        <v>Rua da Batata Frita_Rua Dr. Thouzet</v>
      </c>
      <c r="I707" s="42">
        <f t="shared" si="23"/>
        <v>-1</v>
      </c>
      <c r="J707" s="53">
        <f>COUNTIFS(H$2:H707, H707)-1</f>
        <v>37</v>
      </c>
      <c r="K707" s="42" cm="1">
        <f t="array" ref="K707">IF(I707=1,
    J707,
    MAX(IF(H:H=H707, J:J)) - J707
)</f>
        <v>2</v>
      </c>
    </row>
    <row r="708" spans="1:11" x14ac:dyDescent="0.2">
      <c r="A708" s="43" t="s">
        <v>86</v>
      </c>
      <c r="B708" s="44" t="s">
        <v>82</v>
      </c>
      <c r="C708" s="42">
        <f>VLOOKUP(Tabela13[[#This Row],[Origem]],Tabela1[],2,FALSE)</f>
        <v>86</v>
      </c>
      <c r="D708" s="42">
        <f>VLOOKUP(Tabela13[[#This Row],[Destino]],Tabela1[],2,FALSE)</f>
        <v>82</v>
      </c>
      <c r="E708" s="51" t="s">
        <v>639</v>
      </c>
      <c r="F708" s="52" t="s">
        <v>1153</v>
      </c>
      <c r="H708" s="42" t="str">
        <f t="shared" si="22"/>
        <v>Rua da Batata Frita_Rua Dr. Thouzet</v>
      </c>
      <c r="I708" s="42">
        <f t="shared" si="23"/>
        <v>-1</v>
      </c>
      <c r="J708" s="53">
        <f>COUNTIFS(H$2:H708, H708)-1</f>
        <v>38</v>
      </c>
      <c r="K708" s="42" cm="1">
        <f t="array" ref="K708">IF(I708=1,
    J708,
    MAX(IF(H:H=H708, J:J)) - J708
)</f>
        <v>1</v>
      </c>
    </row>
    <row r="709" spans="1:11" x14ac:dyDescent="0.2">
      <c r="A709" s="43" t="s">
        <v>86</v>
      </c>
      <c r="B709" s="44" t="s">
        <v>82</v>
      </c>
      <c r="C709" s="42">
        <f>VLOOKUP(Tabela13[[#This Row],[Origem]],Tabela1[],2,FALSE)</f>
        <v>86</v>
      </c>
      <c r="D709" s="42">
        <f>VLOOKUP(Tabela13[[#This Row],[Destino]],Tabela1[],2,FALSE)</f>
        <v>82</v>
      </c>
      <c r="E709" s="51" t="s">
        <v>640</v>
      </c>
      <c r="F709" s="52" t="s">
        <v>1154</v>
      </c>
      <c r="H709" s="42" t="str">
        <f t="shared" si="22"/>
        <v>Rua da Batata Frita_Rua Dr. Thouzet</v>
      </c>
      <c r="I709" s="42">
        <f t="shared" si="23"/>
        <v>-1</v>
      </c>
      <c r="J709" s="53">
        <f>COUNTIFS(H$2:H709, H709)-1</f>
        <v>39</v>
      </c>
      <c r="K709" s="42" cm="1">
        <f t="array" ref="K709">IF(I709=1,
    J709,
    MAX(IF(H:H=H709, J:J)) - J709
)</f>
        <v>0</v>
      </c>
    </row>
    <row r="710" spans="1:11" x14ac:dyDescent="0.2">
      <c r="A710" s="43" t="s">
        <v>86</v>
      </c>
      <c r="B710" s="44" t="s">
        <v>59</v>
      </c>
      <c r="C710" s="42">
        <f>VLOOKUP(Tabela13[[#This Row],[Origem]],Tabela1[],2,FALSE)</f>
        <v>86</v>
      </c>
      <c r="D710" s="42">
        <f>VLOOKUP(Tabela13[[#This Row],[Destino]],Tabela1[],2,FALSE)</f>
        <v>59</v>
      </c>
      <c r="E710" s="51" t="s">
        <v>540</v>
      </c>
      <c r="F710" s="52" t="s">
        <v>1054</v>
      </c>
      <c r="H710" s="42" t="str">
        <f t="shared" si="22"/>
        <v>Ponte Fones_Rua Dr. Thouzet</v>
      </c>
      <c r="I710" s="42">
        <f t="shared" si="23"/>
        <v>-1</v>
      </c>
      <c r="J710" s="53">
        <f>COUNTIFS(H$2:H710, H710)-1</f>
        <v>5</v>
      </c>
      <c r="K710" s="42" cm="1">
        <f t="array" ref="K710">IF(I710=1,
    J710,
    MAX(IF(H:H=H710, J:J)) - J710
)</f>
        <v>4</v>
      </c>
    </row>
    <row r="711" spans="1:11" x14ac:dyDescent="0.2">
      <c r="A711" s="43" t="s">
        <v>86</v>
      </c>
      <c r="B711" s="44" t="s">
        <v>59</v>
      </c>
      <c r="C711" s="42">
        <f>VLOOKUP(Tabela13[[#This Row],[Origem]],Tabela1[],2,FALSE)</f>
        <v>86</v>
      </c>
      <c r="D711" s="42">
        <f>VLOOKUP(Tabela13[[#This Row],[Destino]],Tabela1[],2,FALSE)</f>
        <v>59</v>
      </c>
      <c r="E711" s="51" t="s">
        <v>541</v>
      </c>
      <c r="F711" s="52" t="s">
        <v>1055</v>
      </c>
      <c r="H711" s="42" t="str">
        <f t="shared" si="22"/>
        <v>Ponte Fones_Rua Dr. Thouzet</v>
      </c>
      <c r="I711" s="42">
        <f t="shared" si="23"/>
        <v>-1</v>
      </c>
      <c r="J711" s="53">
        <f>COUNTIFS(H$2:H711, H711)-1</f>
        <v>6</v>
      </c>
      <c r="K711" s="42" cm="1">
        <f t="array" ref="K711">IF(I711=1,
    J711,
    MAX(IF(H:H=H711, J:J)) - J711
)</f>
        <v>3</v>
      </c>
    </row>
    <row r="712" spans="1:11" x14ac:dyDescent="0.2">
      <c r="A712" s="43" t="s">
        <v>86</v>
      </c>
      <c r="B712" s="44" t="s">
        <v>59</v>
      </c>
      <c r="C712" s="42">
        <f>VLOOKUP(Tabela13[[#This Row],[Origem]],Tabela1[],2,FALSE)</f>
        <v>86</v>
      </c>
      <c r="D712" s="42">
        <f>VLOOKUP(Tabela13[[#This Row],[Destino]],Tabela1[],2,FALSE)</f>
        <v>59</v>
      </c>
      <c r="E712" s="51" t="s">
        <v>542</v>
      </c>
      <c r="F712" s="52" t="s">
        <v>1056</v>
      </c>
      <c r="H712" s="42" t="str">
        <f t="shared" si="22"/>
        <v>Ponte Fones_Rua Dr. Thouzet</v>
      </c>
      <c r="I712" s="42">
        <f t="shared" si="23"/>
        <v>-1</v>
      </c>
      <c r="J712" s="53">
        <f>COUNTIFS(H$2:H712, H712)-1</f>
        <v>7</v>
      </c>
      <c r="K712" s="42" cm="1">
        <f t="array" ref="K712">IF(I712=1,
    J712,
    MAX(IF(H:H=H712, J:J)) - J712
)</f>
        <v>2</v>
      </c>
    </row>
    <row r="713" spans="1:11" x14ac:dyDescent="0.2">
      <c r="A713" s="43" t="s">
        <v>86</v>
      </c>
      <c r="B713" s="44" t="s">
        <v>59</v>
      </c>
      <c r="C713" s="42">
        <f>VLOOKUP(Tabela13[[#This Row],[Origem]],Tabela1[],2,FALSE)</f>
        <v>86</v>
      </c>
      <c r="D713" s="42">
        <f>VLOOKUP(Tabela13[[#This Row],[Destino]],Tabela1[],2,FALSE)</f>
        <v>59</v>
      </c>
      <c r="E713" s="51" t="s">
        <v>543</v>
      </c>
      <c r="F713" s="52" t="s">
        <v>1057</v>
      </c>
      <c r="H713" s="42" t="str">
        <f t="shared" si="22"/>
        <v>Ponte Fones_Rua Dr. Thouzet</v>
      </c>
      <c r="I713" s="42">
        <f t="shared" si="23"/>
        <v>-1</v>
      </c>
      <c r="J713" s="53">
        <f>COUNTIFS(H$2:H713, H713)-1</f>
        <v>8</v>
      </c>
      <c r="K713" s="42" cm="1">
        <f t="array" ref="K713">IF(I713=1,
    J713,
    MAX(IF(H:H=H713, J:J)) - J713
)</f>
        <v>1</v>
      </c>
    </row>
    <row r="714" spans="1:11" x14ac:dyDescent="0.2">
      <c r="A714" s="43" t="s">
        <v>86</v>
      </c>
      <c r="B714" s="44" t="s">
        <v>59</v>
      </c>
      <c r="C714" s="42">
        <f>VLOOKUP(Tabela13[[#This Row],[Origem]],Tabela1[],2,FALSE)</f>
        <v>86</v>
      </c>
      <c r="D714" s="42">
        <f>VLOOKUP(Tabela13[[#This Row],[Destino]],Tabela1[],2,FALSE)</f>
        <v>59</v>
      </c>
      <c r="E714" s="51" t="s">
        <v>544</v>
      </c>
      <c r="F714" s="52" t="s">
        <v>1058</v>
      </c>
      <c r="H714" s="42" t="str">
        <f t="shared" si="22"/>
        <v>Ponte Fones_Rua Dr. Thouzet</v>
      </c>
      <c r="I714" s="42">
        <f t="shared" si="23"/>
        <v>-1</v>
      </c>
      <c r="J714" s="53">
        <f>COUNTIFS(H$2:H714, H714)-1</f>
        <v>9</v>
      </c>
      <c r="K714" s="42" cm="1">
        <f t="array" ref="K714">IF(I714=1,
    J714,
    MAX(IF(H:H=H714, J:J)) - J714
)</f>
        <v>0</v>
      </c>
    </row>
    <row r="715" spans="1:11" x14ac:dyDescent="0.2">
      <c r="A715" s="43" t="s">
        <v>87</v>
      </c>
      <c r="B715" s="44" t="s">
        <v>98</v>
      </c>
      <c r="C715" s="42">
        <f>VLOOKUP(Tabela13[[#This Row],[Origem]],Tabela1[],2,FALSE)</f>
        <v>87</v>
      </c>
      <c r="D715" s="42">
        <f>VLOOKUP(Tabela13[[#This Row],[Destino]],Tabela1[],2,FALSE)</f>
        <v>98</v>
      </c>
      <c r="E715" s="51" t="s">
        <v>650</v>
      </c>
      <c r="F715" s="52" t="s">
        <v>1166</v>
      </c>
      <c r="H715" s="42" t="str">
        <f t="shared" si="22"/>
        <v>Rua General Osório_Shopping Pátio Petrópolis</v>
      </c>
      <c r="I715" s="42">
        <f t="shared" si="23"/>
        <v>1</v>
      </c>
      <c r="J715" s="53">
        <f>COUNTIFS(H$2:H715, H715)-1</f>
        <v>0</v>
      </c>
      <c r="K715" s="42" cm="1">
        <f t="array" ref="K715">IF(I715=1,
    J715,
    MAX(IF(H:H=H715, J:J)) - J715
)</f>
        <v>0</v>
      </c>
    </row>
    <row r="716" spans="1:11" x14ac:dyDescent="0.2">
      <c r="A716" s="43" t="s">
        <v>87</v>
      </c>
      <c r="B716" s="44" t="s">
        <v>2</v>
      </c>
      <c r="C716" s="42">
        <f>VLOOKUP(Tabela13[[#This Row],[Origem]],Tabela1[],2,FALSE)</f>
        <v>87</v>
      </c>
      <c r="D716" s="42">
        <f>VLOOKUP(Tabela13[[#This Row],[Destino]],Tabela1[],2,FALSE)</f>
        <v>2</v>
      </c>
      <c r="E716" s="51" t="s">
        <v>651</v>
      </c>
      <c r="F716" s="52" t="s">
        <v>1167</v>
      </c>
      <c r="H716" s="42" t="str">
        <f t="shared" si="22"/>
        <v>Antigo Fórum_Rua General Osório</v>
      </c>
      <c r="I716" s="42">
        <f t="shared" si="23"/>
        <v>-1</v>
      </c>
      <c r="J716" s="53">
        <f>COUNTIFS(H$2:H716, H716)-1</f>
        <v>0</v>
      </c>
      <c r="K716" s="42" cm="1">
        <f t="array" ref="K716">IF(I716=1,
    J716,
    MAX(IF(H:H=H716, J:J)) - J716
)</f>
        <v>0</v>
      </c>
    </row>
    <row r="717" spans="1:11" x14ac:dyDescent="0.2">
      <c r="A717" s="43" t="s">
        <v>88</v>
      </c>
      <c r="B717" s="44" t="s">
        <v>35</v>
      </c>
      <c r="C717" s="42">
        <f>VLOOKUP(Tabela13[[#This Row],[Origem]],Tabela1[],2,FALSE)</f>
        <v>88</v>
      </c>
      <c r="D717" s="42">
        <f>VLOOKUP(Tabela13[[#This Row],[Destino]],Tabela1[],2,FALSE)</f>
        <v>35</v>
      </c>
      <c r="E717" s="51" t="s">
        <v>652</v>
      </c>
      <c r="F717" s="52" t="s">
        <v>1168</v>
      </c>
      <c r="H717" s="42" t="str">
        <f t="shared" si="22"/>
        <v>Hospital SMH_Rua Gonçalves Dias</v>
      </c>
      <c r="I717" s="42">
        <f t="shared" si="23"/>
        <v>-1</v>
      </c>
      <c r="J717" s="53">
        <f>COUNTIFS(H$2:H717, H717)-1</f>
        <v>0</v>
      </c>
      <c r="K717" s="42" cm="1">
        <f t="array" ref="K717">IF(I717=1,
    J717,
    MAX(IF(H:H=H717, J:J)) - J717
)</f>
        <v>1</v>
      </c>
    </row>
    <row r="718" spans="1:11" x14ac:dyDescent="0.2">
      <c r="A718" s="43" t="s">
        <v>88</v>
      </c>
      <c r="B718" s="44" t="s">
        <v>35</v>
      </c>
      <c r="C718" s="42">
        <f>VLOOKUP(Tabela13[[#This Row],[Origem]],Tabela1[],2,FALSE)</f>
        <v>88</v>
      </c>
      <c r="D718" s="42">
        <f>VLOOKUP(Tabela13[[#This Row],[Destino]],Tabela1[],2,FALSE)</f>
        <v>35</v>
      </c>
      <c r="E718" s="51" t="s">
        <v>653</v>
      </c>
      <c r="F718" s="52" t="s">
        <v>1169</v>
      </c>
      <c r="H718" s="42" t="str">
        <f t="shared" si="22"/>
        <v>Hospital SMH_Rua Gonçalves Dias</v>
      </c>
      <c r="I718" s="42">
        <f t="shared" si="23"/>
        <v>-1</v>
      </c>
      <c r="J718" s="53">
        <f>COUNTIFS(H$2:H718, H718)-1</f>
        <v>1</v>
      </c>
      <c r="K718" s="42" cm="1">
        <f t="array" ref="K718">IF(I718=1,
    J718,
    MAX(IF(H:H=H718, J:J)) - J718
)</f>
        <v>0</v>
      </c>
    </row>
    <row r="719" spans="1:11" x14ac:dyDescent="0.2">
      <c r="A719" s="43" t="s">
        <v>88</v>
      </c>
      <c r="B719" s="44" t="s">
        <v>17</v>
      </c>
      <c r="C719" s="42">
        <f>VLOOKUP(Tabela13[[#This Row],[Origem]],Tabela1[],2,FALSE)</f>
        <v>88</v>
      </c>
      <c r="D719" s="42">
        <f>VLOOKUP(Tabela13[[#This Row],[Destino]],Tabela1[],2,FALSE)</f>
        <v>17</v>
      </c>
      <c r="E719" s="51" t="s">
        <v>330</v>
      </c>
      <c r="F719" s="52" t="s">
        <v>844</v>
      </c>
      <c r="H719" s="42" t="str">
        <f t="shared" si="22"/>
        <v>Batalhão_Rua Gonçalves Dias</v>
      </c>
      <c r="I719" s="42">
        <f t="shared" si="23"/>
        <v>-1</v>
      </c>
      <c r="J719" s="53">
        <f>COUNTIFS(H$2:H719, H719)-1</f>
        <v>16</v>
      </c>
      <c r="K719" s="42" cm="1">
        <f t="array" ref="K719">IF(I719=1,
    J719,
    MAX(IF(H:H=H719, J:J)) - J719
)</f>
        <v>15</v>
      </c>
    </row>
    <row r="720" spans="1:11" x14ac:dyDescent="0.2">
      <c r="A720" s="43" t="s">
        <v>88</v>
      </c>
      <c r="B720" s="44" t="s">
        <v>17</v>
      </c>
      <c r="C720" s="42">
        <f>VLOOKUP(Tabela13[[#This Row],[Origem]],Tabela1[],2,FALSE)</f>
        <v>88</v>
      </c>
      <c r="D720" s="42">
        <f>VLOOKUP(Tabela13[[#This Row],[Destino]],Tabela1[],2,FALSE)</f>
        <v>17</v>
      </c>
      <c r="E720" s="51" t="s">
        <v>331</v>
      </c>
      <c r="F720" s="52" t="s">
        <v>845</v>
      </c>
      <c r="H720" s="42" t="str">
        <f t="shared" si="22"/>
        <v>Batalhão_Rua Gonçalves Dias</v>
      </c>
      <c r="I720" s="42">
        <f t="shared" si="23"/>
        <v>-1</v>
      </c>
      <c r="J720" s="53">
        <f>COUNTIFS(H$2:H720, H720)-1</f>
        <v>17</v>
      </c>
      <c r="K720" s="42" cm="1">
        <f t="array" ref="K720">IF(I720=1,
    J720,
    MAX(IF(H:H=H720, J:J)) - J720
)</f>
        <v>14</v>
      </c>
    </row>
    <row r="721" spans="1:11" x14ac:dyDescent="0.2">
      <c r="A721" s="43" t="s">
        <v>88</v>
      </c>
      <c r="B721" s="44" t="s">
        <v>17</v>
      </c>
      <c r="C721" s="42">
        <f>VLOOKUP(Tabela13[[#This Row],[Origem]],Tabela1[],2,FALSE)</f>
        <v>88</v>
      </c>
      <c r="D721" s="42">
        <f>VLOOKUP(Tabela13[[#This Row],[Destino]],Tabela1[],2,FALSE)</f>
        <v>17</v>
      </c>
      <c r="E721" s="51" t="s">
        <v>332</v>
      </c>
      <c r="F721" s="52" t="s">
        <v>846</v>
      </c>
      <c r="H721" s="42" t="str">
        <f t="shared" si="22"/>
        <v>Batalhão_Rua Gonçalves Dias</v>
      </c>
      <c r="I721" s="42">
        <f t="shared" si="23"/>
        <v>-1</v>
      </c>
      <c r="J721" s="53">
        <f>COUNTIFS(H$2:H721, H721)-1</f>
        <v>18</v>
      </c>
      <c r="K721" s="42" cm="1">
        <f t="array" ref="K721">IF(I721=1,
    J721,
    MAX(IF(H:H=H721, J:J)) - J721
)</f>
        <v>13</v>
      </c>
    </row>
    <row r="722" spans="1:11" x14ac:dyDescent="0.2">
      <c r="A722" s="43" t="s">
        <v>88</v>
      </c>
      <c r="B722" s="44" t="s">
        <v>17</v>
      </c>
      <c r="C722" s="42">
        <f>VLOOKUP(Tabela13[[#This Row],[Origem]],Tabela1[],2,FALSE)</f>
        <v>88</v>
      </c>
      <c r="D722" s="42">
        <f>VLOOKUP(Tabela13[[#This Row],[Destino]],Tabela1[],2,FALSE)</f>
        <v>17</v>
      </c>
      <c r="E722" s="51" t="s">
        <v>333</v>
      </c>
      <c r="F722" s="52" t="s">
        <v>847</v>
      </c>
      <c r="H722" s="42" t="str">
        <f t="shared" si="22"/>
        <v>Batalhão_Rua Gonçalves Dias</v>
      </c>
      <c r="I722" s="42">
        <f t="shared" si="23"/>
        <v>-1</v>
      </c>
      <c r="J722" s="53">
        <f>COUNTIFS(H$2:H722, H722)-1</f>
        <v>19</v>
      </c>
      <c r="K722" s="42" cm="1">
        <f t="array" ref="K722">IF(I722=1,
    J722,
    MAX(IF(H:H=H722, J:J)) - J722
)</f>
        <v>12</v>
      </c>
    </row>
    <row r="723" spans="1:11" x14ac:dyDescent="0.2">
      <c r="A723" s="43" t="s">
        <v>88</v>
      </c>
      <c r="B723" s="44" t="s">
        <v>17</v>
      </c>
      <c r="C723" s="42">
        <f>VLOOKUP(Tabela13[[#This Row],[Origem]],Tabela1[],2,FALSE)</f>
        <v>88</v>
      </c>
      <c r="D723" s="42">
        <f>VLOOKUP(Tabela13[[#This Row],[Destino]],Tabela1[],2,FALSE)</f>
        <v>17</v>
      </c>
      <c r="E723" s="51" t="s">
        <v>334</v>
      </c>
      <c r="F723" s="52" t="s">
        <v>848</v>
      </c>
      <c r="H723" s="42" t="str">
        <f t="shared" si="22"/>
        <v>Batalhão_Rua Gonçalves Dias</v>
      </c>
      <c r="I723" s="42">
        <f t="shared" si="23"/>
        <v>-1</v>
      </c>
      <c r="J723" s="53">
        <f>COUNTIFS(H$2:H723, H723)-1</f>
        <v>20</v>
      </c>
      <c r="K723" s="42" cm="1">
        <f t="array" ref="K723">IF(I723=1,
    J723,
    MAX(IF(H:H=H723, J:J)) - J723
)</f>
        <v>11</v>
      </c>
    </row>
    <row r="724" spans="1:11" x14ac:dyDescent="0.2">
      <c r="A724" s="43" t="s">
        <v>88</v>
      </c>
      <c r="B724" s="44" t="s">
        <v>17</v>
      </c>
      <c r="C724" s="42">
        <f>VLOOKUP(Tabela13[[#This Row],[Origem]],Tabela1[],2,FALSE)</f>
        <v>88</v>
      </c>
      <c r="D724" s="42">
        <f>VLOOKUP(Tabela13[[#This Row],[Destino]],Tabela1[],2,FALSE)</f>
        <v>17</v>
      </c>
      <c r="E724" s="51" t="s">
        <v>335</v>
      </c>
      <c r="F724" s="52" t="s">
        <v>849</v>
      </c>
      <c r="H724" s="42" t="str">
        <f t="shared" si="22"/>
        <v>Batalhão_Rua Gonçalves Dias</v>
      </c>
      <c r="I724" s="42">
        <f t="shared" si="23"/>
        <v>-1</v>
      </c>
      <c r="J724" s="53">
        <f>COUNTIFS(H$2:H724, H724)-1</f>
        <v>21</v>
      </c>
      <c r="K724" s="42" cm="1">
        <f t="array" ref="K724">IF(I724=1,
    J724,
    MAX(IF(H:H=H724, J:J)) - J724
)</f>
        <v>10</v>
      </c>
    </row>
    <row r="725" spans="1:11" x14ac:dyDescent="0.2">
      <c r="A725" s="43" t="s">
        <v>88</v>
      </c>
      <c r="B725" s="44" t="s">
        <v>17</v>
      </c>
      <c r="C725" s="42">
        <f>VLOOKUP(Tabela13[[#This Row],[Origem]],Tabela1[],2,FALSE)</f>
        <v>88</v>
      </c>
      <c r="D725" s="42">
        <f>VLOOKUP(Tabela13[[#This Row],[Destino]],Tabela1[],2,FALSE)</f>
        <v>17</v>
      </c>
      <c r="E725" s="51" t="s">
        <v>336</v>
      </c>
      <c r="F725" s="52" t="s">
        <v>850</v>
      </c>
      <c r="H725" s="42" t="str">
        <f t="shared" si="22"/>
        <v>Batalhão_Rua Gonçalves Dias</v>
      </c>
      <c r="I725" s="42">
        <f t="shared" si="23"/>
        <v>-1</v>
      </c>
      <c r="J725" s="53">
        <f>COUNTIFS(H$2:H725, H725)-1</f>
        <v>22</v>
      </c>
      <c r="K725" s="42" cm="1">
        <f t="array" ref="K725">IF(I725=1,
    J725,
    MAX(IF(H:H=H725, J:J)) - J725
)</f>
        <v>9</v>
      </c>
    </row>
    <row r="726" spans="1:11" x14ac:dyDescent="0.2">
      <c r="A726" s="43" t="s">
        <v>88</v>
      </c>
      <c r="B726" s="44" t="s">
        <v>17</v>
      </c>
      <c r="C726" s="42">
        <f>VLOOKUP(Tabela13[[#This Row],[Origem]],Tabela1[],2,FALSE)</f>
        <v>88</v>
      </c>
      <c r="D726" s="42">
        <f>VLOOKUP(Tabela13[[#This Row],[Destino]],Tabela1[],2,FALSE)</f>
        <v>17</v>
      </c>
      <c r="E726" s="51" t="s">
        <v>337</v>
      </c>
      <c r="F726" s="52" t="s">
        <v>851</v>
      </c>
      <c r="H726" s="42" t="str">
        <f t="shared" si="22"/>
        <v>Batalhão_Rua Gonçalves Dias</v>
      </c>
      <c r="I726" s="42">
        <f t="shared" si="23"/>
        <v>-1</v>
      </c>
      <c r="J726" s="53">
        <f>COUNTIFS(H$2:H726, H726)-1</f>
        <v>23</v>
      </c>
      <c r="K726" s="42" cm="1">
        <f t="array" ref="K726">IF(I726=1,
    J726,
    MAX(IF(H:H=H726, J:J)) - J726
)</f>
        <v>8</v>
      </c>
    </row>
    <row r="727" spans="1:11" x14ac:dyDescent="0.2">
      <c r="A727" s="43" t="s">
        <v>88</v>
      </c>
      <c r="B727" s="44" t="s">
        <v>17</v>
      </c>
      <c r="C727" s="42">
        <f>VLOOKUP(Tabela13[[#This Row],[Origem]],Tabela1[],2,FALSE)</f>
        <v>88</v>
      </c>
      <c r="D727" s="42">
        <f>VLOOKUP(Tabela13[[#This Row],[Destino]],Tabela1[],2,FALSE)</f>
        <v>17</v>
      </c>
      <c r="E727" s="51" t="s">
        <v>338</v>
      </c>
      <c r="F727" s="52" t="s">
        <v>852</v>
      </c>
      <c r="H727" s="42" t="str">
        <f t="shared" si="22"/>
        <v>Batalhão_Rua Gonçalves Dias</v>
      </c>
      <c r="I727" s="42">
        <f t="shared" si="23"/>
        <v>-1</v>
      </c>
      <c r="J727" s="53">
        <f>COUNTIFS(H$2:H727, H727)-1</f>
        <v>24</v>
      </c>
      <c r="K727" s="42" cm="1">
        <f t="array" ref="K727">IF(I727=1,
    J727,
    MAX(IF(H:H=H727, J:J)) - J727
)</f>
        <v>7</v>
      </c>
    </row>
    <row r="728" spans="1:11" x14ac:dyDescent="0.2">
      <c r="A728" s="43" t="s">
        <v>88</v>
      </c>
      <c r="B728" s="44" t="s">
        <v>17</v>
      </c>
      <c r="C728" s="42">
        <f>VLOOKUP(Tabela13[[#This Row],[Origem]],Tabela1[],2,FALSE)</f>
        <v>88</v>
      </c>
      <c r="D728" s="42">
        <f>VLOOKUP(Tabela13[[#This Row],[Destino]],Tabela1[],2,FALSE)</f>
        <v>17</v>
      </c>
      <c r="E728" s="51" t="s">
        <v>339</v>
      </c>
      <c r="F728" s="52" t="s">
        <v>853</v>
      </c>
      <c r="H728" s="42" t="str">
        <f t="shared" si="22"/>
        <v>Batalhão_Rua Gonçalves Dias</v>
      </c>
      <c r="I728" s="42">
        <f t="shared" si="23"/>
        <v>-1</v>
      </c>
      <c r="J728" s="53">
        <f>COUNTIFS(H$2:H728, H728)-1</f>
        <v>25</v>
      </c>
      <c r="K728" s="42" cm="1">
        <f t="array" ref="K728">IF(I728=1,
    J728,
    MAX(IF(H:H=H728, J:J)) - J728
)</f>
        <v>6</v>
      </c>
    </row>
    <row r="729" spans="1:11" x14ac:dyDescent="0.2">
      <c r="A729" s="43" t="s">
        <v>88</v>
      </c>
      <c r="B729" s="44" t="s">
        <v>17</v>
      </c>
      <c r="C729" s="42">
        <f>VLOOKUP(Tabela13[[#This Row],[Origem]],Tabela1[],2,FALSE)</f>
        <v>88</v>
      </c>
      <c r="D729" s="42">
        <f>VLOOKUP(Tabela13[[#This Row],[Destino]],Tabela1[],2,FALSE)</f>
        <v>17</v>
      </c>
      <c r="E729" s="51" t="s">
        <v>340</v>
      </c>
      <c r="F729" s="52" t="s">
        <v>854</v>
      </c>
      <c r="H729" s="42" t="str">
        <f t="shared" si="22"/>
        <v>Batalhão_Rua Gonçalves Dias</v>
      </c>
      <c r="I729" s="42">
        <f t="shared" si="23"/>
        <v>-1</v>
      </c>
      <c r="J729" s="53">
        <f>COUNTIFS(H$2:H729, H729)-1</f>
        <v>26</v>
      </c>
      <c r="K729" s="42" cm="1">
        <f t="array" ref="K729">IF(I729=1,
    J729,
    MAX(IF(H:H=H729, J:J)) - J729
)</f>
        <v>5</v>
      </c>
    </row>
    <row r="730" spans="1:11" x14ac:dyDescent="0.2">
      <c r="A730" s="43" t="s">
        <v>88</v>
      </c>
      <c r="B730" s="44" t="s">
        <v>17</v>
      </c>
      <c r="C730" s="42">
        <f>VLOOKUP(Tabela13[[#This Row],[Origem]],Tabela1[],2,FALSE)</f>
        <v>88</v>
      </c>
      <c r="D730" s="42">
        <f>VLOOKUP(Tabela13[[#This Row],[Destino]],Tabela1[],2,FALSE)</f>
        <v>17</v>
      </c>
      <c r="E730" s="51" t="s">
        <v>341</v>
      </c>
      <c r="F730" s="52" t="s">
        <v>855</v>
      </c>
      <c r="H730" s="42" t="str">
        <f t="shared" si="22"/>
        <v>Batalhão_Rua Gonçalves Dias</v>
      </c>
      <c r="I730" s="42">
        <f t="shared" si="23"/>
        <v>-1</v>
      </c>
      <c r="J730" s="53">
        <f>COUNTIFS(H$2:H730, H730)-1</f>
        <v>27</v>
      </c>
      <c r="K730" s="42" cm="1">
        <f t="array" ref="K730">IF(I730=1,
    J730,
    MAX(IF(H:H=H730, J:J)) - J730
)</f>
        <v>4</v>
      </c>
    </row>
    <row r="731" spans="1:11" x14ac:dyDescent="0.2">
      <c r="A731" s="43" t="s">
        <v>88</v>
      </c>
      <c r="B731" s="44" t="s">
        <v>17</v>
      </c>
      <c r="C731" s="42">
        <f>VLOOKUP(Tabela13[[#This Row],[Origem]],Tabela1[],2,FALSE)</f>
        <v>88</v>
      </c>
      <c r="D731" s="42">
        <f>VLOOKUP(Tabela13[[#This Row],[Destino]],Tabela1[],2,FALSE)</f>
        <v>17</v>
      </c>
      <c r="E731" s="51" t="s">
        <v>342</v>
      </c>
      <c r="F731" s="52" t="s">
        <v>856</v>
      </c>
      <c r="H731" s="42" t="str">
        <f t="shared" si="22"/>
        <v>Batalhão_Rua Gonçalves Dias</v>
      </c>
      <c r="I731" s="42">
        <f t="shared" si="23"/>
        <v>-1</v>
      </c>
      <c r="J731" s="53">
        <f>COUNTIFS(H$2:H731, H731)-1</f>
        <v>28</v>
      </c>
      <c r="K731" s="42" cm="1">
        <f t="array" ref="K731">IF(I731=1,
    J731,
    MAX(IF(H:H=H731, J:J)) - J731
)</f>
        <v>3</v>
      </c>
    </row>
    <row r="732" spans="1:11" x14ac:dyDescent="0.2">
      <c r="A732" s="43" t="s">
        <v>88</v>
      </c>
      <c r="B732" s="44" t="s">
        <v>17</v>
      </c>
      <c r="C732" s="42">
        <f>VLOOKUP(Tabela13[[#This Row],[Origem]],Tabela1[],2,FALSE)</f>
        <v>88</v>
      </c>
      <c r="D732" s="42">
        <f>VLOOKUP(Tabela13[[#This Row],[Destino]],Tabela1[],2,FALSE)</f>
        <v>17</v>
      </c>
      <c r="E732" s="51" t="s">
        <v>343</v>
      </c>
      <c r="F732" s="52" t="s">
        <v>857</v>
      </c>
      <c r="H732" s="42" t="str">
        <f t="shared" si="22"/>
        <v>Batalhão_Rua Gonçalves Dias</v>
      </c>
      <c r="I732" s="42">
        <f t="shared" si="23"/>
        <v>-1</v>
      </c>
      <c r="J732" s="53">
        <f>COUNTIFS(H$2:H732, H732)-1</f>
        <v>29</v>
      </c>
      <c r="K732" s="42" cm="1">
        <f t="array" ref="K732">IF(I732=1,
    J732,
    MAX(IF(H:H=H732, J:J)) - J732
)</f>
        <v>2</v>
      </c>
    </row>
    <row r="733" spans="1:11" x14ac:dyDescent="0.2">
      <c r="A733" s="43" t="s">
        <v>88</v>
      </c>
      <c r="B733" s="44" t="s">
        <v>17</v>
      </c>
      <c r="C733" s="42">
        <f>VLOOKUP(Tabela13[[#This Row],[Origem]],Tabela1[],2,FALSE)</f>
        <v>88</v>
      </c>
      <c r="D733" s="42">
        <f>VLOOKUP(Tabela13[[#This Row],[Destino]],Tabela1[],2,FALSE)</f>
        <v>17</v>
      </c>
      <c r="E733" s="51" t="s">
        <v>344</v>
      </c>
      <c r="F733" s="52" t="s">
        <v>858</v>
      </c>
      <c r="H733" s="42" t="str">
        <f t="shared" si="22"/>
        <v>Batalhão_Rua Gonçalves Dias</v>
      </c>
      <c r="I733" s="42">
        <f t="shared" si="23"/>
        <v>-1</v>
      </c>
      <c r="J733" s="53">
        <f>COUNTIFS(H$2:H733, H733)-1</f>
        <v>30</v>
      </c>
      <c r="K733" s="42" cm="1">
        <f t="array" ref="K733">IF(I733=1,
    J733,
    MAX(IF(H:H=H733, J:J)) - J733
)</f>
        <v>1</v>
      </c>
    </row>
    <row r="734" spans="1:11" x14ac:dyDescent="0.2">
      <c r="A734" s="43" t="s">
        <v>88</v>
      </c>
      <c r="B734" s="44" t="s">
        <v>17</v>
      </c>
      <c r="C734" s="42">
        <f>VLOOKUP(Tabela13[[#This Row],[Origem]],Tabela1[],2,FALSE)</f>
        <v>88</v>
      </c>
      <c r="D734" s="42">
        <f>VLOOKUP(Tabela13[[#This Row],[Destino]],Tabela1[],2,FALSE)</f>
        <v>17</v>
      </c>
      <c r="E734" s="51" t="s">
        <v>342</v>
      </c>
      <c r="F734" s="52" t="s">
        <v>859</v>
      </c>
      <c r="H734" s="42" t="str">
        <f t="shared" si="22"/>
        <v>Batalhão_Rua Gonçalves Dias</v>
      </c>
      <c r="I734" s="42">
        <f t="shared" si="23"/>
        <v>-1</v>
      </c>
      <c r="J734" s="53">
        <f>COUNTIFS(H$2:H734, H734)-1</f>
        <v>31</v>
      </c>
      <c r="K734" s="42" cm="1">
        <f t="array" ref="K734">IF(I734=1,
    J734,
    MAX(IF(H:H=H734, J:J)) - J734
)</f>
        <v>0</v>
      </c>
    </row>
    <row r="735" spans="1:11" x14ac:dyDescent="0.2">
      <c r="A735" s="43" t="s">
        <v>88</v>
      </c>
      <c r="B735" s="44" t="s">
        <v>6</v>
      </c>
      <c r="C735" s="42">
        <f>VLOOKUP(Tabela13[[#This Row],[Origem]],Tabela1[],2,FALSE)</f>
        <v>88</v>
      </c>
      <c r="D735" s="42">
        <f>VLOOKUP(Tabela13[[#This Row],[Destino]],Tabela1[],2,FALSE)</f>
        <v>7</v>
      </c>
      <c r="E735" s="51" t="s">
        <v>207</v>
      </c>
      <c r="F735" s="52" t="s">
        <v>720</v>
      </c>
      <c r="H735" s="42" t="str">
        <f t="shared" si="22"/>
        <v>Avenida Portugal_Rua Gonçalves Dias</v>
      </c>
      <c r="I735" s="42">
        <f t="shared" si="23"/>
        <v>-1</v>
      </c>
      <c r="J735" s="53">
        <f>COUNTIFS(H$2:H735, H735)-1</f>
        <v>1</v>
      </c>
      <c r="K735" s="42" cm="1">
        <f t="array" ref="K735">IF(I735=1,
    J735,
    MAX(IF(H:H=H735, J:J)) - J735
)</f>
        <v>0</v>
      </c>
    </row>
    <row r="736" spans="1:11" x14ac:dyDescent="0.2">
      <c r="A736" s="43" t="s">
        <v>88</v>
      </c>
      <c r="B736" s="44" t="s">
        <v>55</v>
      </c>
      <c r="C736" s="42">
        <f>VLOOKUP(Tabela13[[#This Row],[Origem]],Tabela1[],2,FALSE)</f>
        <v>88</v>
      </c>
      <c r="D736" s="42">
        <f>VLOOKUP(Tabela13[[#This Row],[Destino]],Tabela1[],2,FALSE)</f>
        <v>55</v>
      </c>
      <c r="E736" s="51" t="s">
        <v>493</v>
      </c>
      <c r="F736" s="52" t="s">
        <v>1006</v>
      </c>
      <c r="H736" s="42" t="str">
        <f t="shared" si="22"/>
        <v>Palácio Itaboraí_Rua Gonçalves Dias</v>
      </c>
      <c r="I736" s="42">
        <f t="shared" si="23"/>
        <v>-1</v>
      </c>
      <c r="J736" s="53">
        <f>COUNTIFS(H$2:H736, H736)-1</f>
        <v>3</v>
      </c>
      <c r="K736" s="42" cm="1">
        <f t="array" ref="K736">IF(I736=1,
    J736,
    MAX(IF(H:H=H736, J:J)) - J736
)</f>
        <v>2</v>
      </c>
    </row>
    <row r="737" spans="1:11" x14ac:dyDescent="0.2">
      <c r="A737" s="43" t="s">
        <v>88</v>
      </c>
      <c r="B737" s="44" t="s">
        <v>55</v>
      </c>
      <c r="C737" s="42">
        <f>VLOOKUP(Tabela13[[#This Row],[Origem]],Tabela1[],2,FALSE)</f>
        <v>88</v>
      </c>
      <c r="D737" s="42">
        <f>VLOOKUP(Tabela13[[#This Row],[Destino]],Tabela1[],2,FALSE)</f>
        <v>55</v>
      </c>
      <c r="E737" s="51" t="s">
        <v>494</v>
      </c>
      <c r="F737" s="52" t="s">
        <v>1007</v>
      </c>
      <c r="H737" s="42" t="str">
        <f t="shared" si="22"/>
        <v>Palácio Itaboraí_Rua Gonçalves Dias</v>
      </c>
      <c r="I737" s="42">
        <f t="shared" si="23"/>
        <v>-1</v>
      </c>
      <c r="J737" s="53">
        <f>COUNTIFS(H$2:H737, H737)-1</f>
        <v>4</v>
      </c>
      <c r="K737" s="42" cm="1">
        <f t="array" ref="K737">IF(I737=1,
    J737,
    MAX(IF(H:H=H737, J:J)) - J737
)</f>
        <v>1</v>
      </c>
    </row>
    <row r="738" spans="1:11" x14ac:dyDescent="0.2">
      <c r="A738" s="43" t="s">
        <v>88</v>
      </c>
      <c r="B738" s="44" t="s">
        <v>55</v>
      </c>
      <c r="C738" s="42">
        <f>VLOOKUP(Tabela13[[#This Row],[Origem]],Tabela1[],2,FALSE)</f>
        <v>88</v>
      </c>
      <c r="D738" s="42">
        <f>VLOOKUP(Tabela13[[#This Row],[Destino]],Tabela1[],2,FALSE)</f>
        <v>55</v>
      </c>
      <c r="E738" s="51" t="s">
        <v>495</v>
      </c>
      <c r="F738" s="52" t="s">
        <v>1008</v>
      </c>
      <c r="H738" s="42" t="str">
        <f t="shared" si="22"/>
        <v>Palácio Itaboraí_Rua Gonçalves Dias</v>
      </c>
      <c r="I738" s="42">
        <f t="shared" si="23"/>
        <v>-1</v>
      </c>
      <c r="J738" s="53">
        <f>COUNTIFS(H$2:H738, H738)-1</f>
        <v>5</v>
      </c>
      <c r="K738" s="42" cm="1">
        <f t="array" ref="K738">IF(I738=1,
    J738,
    MAX(IF(H:H=H738, J:J)) - J738
)</f>
        <v>0</v>
      </c>
    </row>
    <row r="739" spans="1:11" x14ac:dyDescent="0.2">
      <c r="A739" s="43" t="s">
        <v>89</v>
      </c>
      <c r="B739" s="44" t="s">
        <v>2</v>
      </c>
      <c r="C739" s="42">
        <f>VLOOKUP(Tabela13[[#This Row],[Origem]],Tabela1[],2,FALSE)</f>
        <v>89</v>
      </c>
      <c r="D739" s="42">
        <f>VLOOKUP(Tabela13[[#This Row],[Destino]],Tabela1[],2,FALSE)</f>
        <v>2</v>
      </c>
      <c r="E739" s="51" t="s">
        <v>654</v>
      </c>
      <c r="F739" s="52" t="s">
        <v>1170</v>
      </c>
      <c r="H739" s="42" t="str">
        <f t="shared" si="22"/>
        <v>Antigo Fórum_Rua Marechal Deodoro</v>
      </c>
      <c r="I739" s="42">
        <f t="shared" si="23"/>
        <v>-1</v>
      </c>
      <c r="J739" s="53">
        <f>COUNTIFS(H$2:H739, H739)-1</f>
        <v>0</v>
      </c>
      <c r="K739" s="42" cm="1">
        <f t="array" ref="K739">IF(I739=1,
    J739,
    MAX(IF(H:H=H739, J:J)) - J739
)</f>
        <v>0</v>
      </c>
    </row>
    <row r="740" spans="1:11" hidden="1" x14ac:dyDescent="0.2">
      <c r="A740" s="43" t="s">
        <v>89</v>
      </c>
      <c r="B740" s="44" t="s">
        <v>48</v>
      </c>
      <c r="C740" s="42">
        <f>VLOOKUP(Tabela13[[#This Row],[Origem]],Tabela1[],2,FALSE)</f>
        <v>89</v>
      </c>
      <c r="D740" s="42">
        <f>VLOOKUP(Tabela13[[#This Row],[Destino]],Tabela1[],2,FALSE)</f>
        <v>48</v>
      </c>
      <c r="E740" s="51" t="s">
        <v>188</v>
      </c>
      <c r="F740" s="52" t="s">
        <v>189</v>
      </c>
      <c r="H740" s="42" t="str">
        <f t="shared" si="22"/>
        <v>Mercado PetroFrutas_Rua Marechal Deodoro</v>
      </c>
      <c r="I740" s="42">
        <f t="shared" si="23"/>
        <v>-1</v>
      </c>
      <c r="J740" s="53">
        <f>COUNTIFS(H$2:H740, H740)-1</f>
        <v>0</v>
      </c>
      <c r="K740" s="42" cm="1">
        <f t="array" ref="K740">IF(I740=1,
    J740,
    MAX(IF(H:H=H740, J:J)) - J740
)</f>
        <v>0</v>
      </c>
    </row>
    <row r="741" spans="1:11" hidden="1" x14ac:dyDescent="0.2">
      <c r="A741" s="43" t="s">
        <v>90</v>
      </c>
      <c r="B741" s="44" t="s">
        <v>65</v>
      </c>
      <c r="C741" s="42">
        <f>VLOOKUP(Tabela13[[#This Row],[Origem]],Tabela1[],2,FALSE)</f>
        <v>90</v>
      </c>
      <c r="D741" s="42">
        <f>VLOOKUP(Tabela13[[#This Row],[Destino]],Tabela1[],2,FALSE)</f>
        <v>65</v>
      </c>
      <c r="E741" s="51" t="s">
        <v>188</v>
      </c>
      <c r="F741" s="52" t="s">
        <v>189</v>
      </c>
      <c r="H741" s="42" t="str">
        <f t="shared" si="22"/>
        <v>Praça Dom Pedro_Rua Nilo Peçanha</v>
      </c>
      <c r="I741" s="42">
        <f t="shared" si="23"/>
        <v>-1</v>
      </c>
      <c r="J741" s="53">
        <f>COUNTIFS(H$2:H741, H741)-1</f>
        <v>0</v>
      </c>
      <c r="K741" s="42" cm="1">
        <f t="array" ref="K741">IF(I741=1,
    J741,
    MAX(IF(H:H=H741, J:J)) - J741
)</f>
        <v>0</v>
      </c>
    </row>
    <row r="742" spans="1:11" hidden="1" x14ac:dyDescent="0.2">
      <c r="A742" s="43" t="s">
        <v>90</v>
      </c>
      <c r="B742" s="44" t="s">
        <v>100</v>
      </c>
      <c r="C742" s="42">
        <f>VLOOKUP(Tabela13[[#This Row],[Origem]],Tabela1[],2,FALSE)</f>
        <v>90</v>
      </c>
      <c r="D742" s="42">
        <f>VLOOKUP(Tabela13[[#This Row],[Destino]],Tabela1[],2,FALSE)</f>
        <v>100</v>
      </c>
      <c r="E742" s="51" t="s">
        <v>188</v>
      </c>
      <c r="F742" s="52" t="s">
        <v>189</v>
      </c>
      <c r="H742" s="42" t="str">
        <f t="shared" si="22"/>
        <v>Rua Nilo Peçanha_Teatro Dom Pedro</v>
      </c>
      <c r="I742" s="42">
        <f t="shared" si="23"/>
        <v>1</v>
      </c>
      <c r="J742" s="53">
        <f>COUNTIFS(H$2:H742, H742)-1</f>
        <v>0</v>
      </c>
      <c r="K742" s="42" cm="1">
        <f t="array" ref="K742">IF(I742=1,
    J742,
    MAX(IF(H:H=H742, J:J)) - J742
)</f>
        <v>0</v>
      </c>
    </row>
    <row r="743" spans="1:11" x14ac:dyDescent="0.2">
      <c r="A743" s="43" t="s">
        <v>91</v>
      </c>
      <c r="B743" s="44" t="s">
        <v>16</v>
      </c>
      <c r="C743" s="42">
        <f>VLOOKUP(Tabela13[[#This Row],[Origem]],Tabela1[],2,FALSE)</f>
        <v>91</v>
      </c>
      <c r="D743" s="42">
        <f>VLOOKUP(Tabela13[[#This Row],[Destino]],Tabela1[],2,FALSE)</f>
        <v>3</v>
      </c>
      <c r="E743" s="51" t="s">
        <v>655</v>
      </c>
      <c r="F743" s="52" t="s">
        <v>1171</v>
      </c>
      <c r="H743" s="42" t="str">
        <f t="shared" si="22"/>
        <v>Avenida Barão do Rio Branco_Rua Padre Siqueira</v>
      </c>
      <c r="I743" s="42">
        <f t="shared" si="23"/>
        <v>-1</v>
      </c>
      <c r="J743" s="53">
        <f>COUNTIFS(H$2:H743, H743)-1</f>
        <v>0</v>
      </c>
      <c r="K743" s="42" cm="1">
        <f t="array" ref="K743">IF(I743=1,
    J743,
    MAX(IF(H:H=H743, J:J)) - J743
)</f>
        <v>0</v>
      </c>
    </row>
    <row r="744" spans="1:11" hidden="1" x14ac:dyDescent="0.2">
      <c r="A744" s="43" t="s">
        <v>92</v>
      </c>
      <c r="B744" s="44" t="s">
        <v>73</v>
      </c>
      <c r="C744" s="42">
        <f>VLOOKUP(Tabela13[[#This Row],[Origem]],Tabela1[],2,FALSE)</f>
        <v>92</v>
      </c>
      <c r="D744" s="42">
        <f>VLOOKUP(Tabela13[[#This Row],[Destino]],Tabela1[],2,FALSE)</f>
        <v>73</v>
      </c>
      <c r="E744" s="51" t="s">
        <v>188</v>
      </c>
      <c r="F744" s="52" t="s">
        <v>189</v>
      </c>
      <c r="H744" s="42" t="str">
        <f t="shared" si="22"/>
        <v>Restaurante Gehren_Rua Paulino Afonso</v>
      </c>
      <c r="I744" s="42">
        <f t="shared" si="23"/>
        <v>-1</v>
      </c>
      <c r="J744" s="53">
        <f>COUNTIFS(H$2:H744, H744)-1</f>
        <v>0</v>
      </c>
      <c r="K744" s="42" cm="1">
        <f t="array" ref="K744">IF(I744=1,
    J744,
    MAX(IF(H:H=H744, J:J)) - J744
)</f>
        <v>3</v>
      </c>
    </row>
    <row r="745" spans="1:11" x14ac:dyDescent="0.2">
      <c r="A745" s="43" t="s">
        <v>92</v>
      </c>
      <c r="B745" s="44" t="s">
        <v>73</v>
      </c>
      <c r="C745" s="42">
        <f>VLOOKUP(Tabela13[[#This Row],[Origem]],Tabela1[],2,FALSE)</f>
        <v>92</v>
      </c>
      <c r="D745" s="42">
        <f>VLOOKUP(Tabela13[[#This Row],[Destino]],Tabela1[],2,FALSE)</f>
        <v>73</v>
      </c>
      <c r="E745" s="51" t="s">
        <v>656</v>
      </c>
      <c r="F745" s="52" t="s">
        <v>1172</v>
      </c>
      <c r="H745" s="42" t="str">
        <f t="shared" si="22"/>
        <v>Restaurante Gehren_Rua Paulino Afonso</v>
      </c>
      <c r="I745" s="42">
        <f t="shared" si="23"/>
        <v>-1</v>
      </c>
      <c r="J745" s="53">
        <f>COUNTIFS(H$2:H745, H745)-1</f>
        <v>1</v>
      </c>
      <c r="K745" s="42" cm="1">
        <f t="array" ref="K745">IF(I745=1,
    J745,
    MAX(IF(H:H=H745, J:J)) - J745
)</f>
        <v>2</v>
      </c>
    </row>
    <row r="746" spans="1:11" x14ac:dyDescent="0.2">
      <c r="A746" s="43" t="s">
        <v>92</v>
      </c>
      <c r="B746" s="44" t="s">
        <v>73</v>
      </c>
      <c r="C746" s="42">
        <f>VLOOKUP(Tabela13[[#This Row],[Origem]],Tabela1[],2,FALSE)</f>
        <v>92</v>
      </c>
      <c r="D746" s="42">
        <f>VLOOKUP(Tabela13[[#This Row],[Destino]],Tabela1[],2,FALSE)</f>
        <v>73</v>
      </c>
      <c r="E746" s="51" t="s">
        <v>657</v>
      </c>
      <c r="F746" s="52" t="s">
        <v>1173</v>
      </c>
      <c r="H746" s="42" t="str">
        <f t="shared" si="22"/>
        <v>Restaurante Gehren_Rua Paulino Afonso</v>
      </c>
      <c r="I746" s="42">
        <f t="shared" si="23"/>
        <v>-1</v>
      </c>
      <c r="J746" s="53">
        <f>COUNTIFS(H$2:H746, H746)-1</f>
        <v>2</v>
      </c>
      <c r="K746" s="42" cm="1">
        <f t="array" ref="K746">IF(I746=1,
    J746,
    MAX(IF(H:H=H746, J:J)) - J746
)</f>
        <v>1</v>
      </c>
    </row>
    <row r="747" spans="1:11" x14ac:dyDescent="0.2">
      <c r="A747" s="43" t="s">
        <v>92</v>
      </c>
      <c r="B747" s="44" t="s">
        <v>73</v>
      </c>
      <c r="C747" s="42">
        <f>VLOOKUP(Tabela13[[#This Row],[Origem]],Tabela1[],2,FALSE)</f>
        <v>92</v>
      </c>
      <c r="D747" s="42">
        <f>VLOOKUP(Tabela13[[#This Row],[Destino]],Tabela1[],2,FALSE)</f>
        <v>73</v>
      </c>
      <c r="E747" s="51" t="s">
        <v>658</v>
      </c>
      <c r="F747" s="52" t="s">
        <v>1174</v>
      </c>
      <c r="H747" s="42" t="str">
        <f t="shared" si="22"/>
        <v>Restaurante Gehren_Rua Paulino Afonso</v>
      </c>
      <c r="I747" s="42">
        <f t="shared" si="23"/>
        <v>-1</v>
      </c>
      <c r="J747" s="53">
        <f>COUNTIFS(H$2:H747, H747)-1</f>
        <v>3</v>
      </c>
      <c r="K747" s="42" cm="1">
        <f t="array" ref="K747">IF(I747=1,
    J747,
    MAX(IF(H:H=H747, J:J)) - J747
)</f>
        <v>0</v>
      </c>
    </row>
    <row r="748" spans="1:11" x14ac:dyDescent="0.2">
      <c r="A748" s="43" t="s">
        <v>92</v>
      </c>
      <c r="B748" s="44" t="s">
        <v>21</v>
      </c>
      <c r="C748" s="42">
        <f>VLOOKUP(Tabela13[[#This Row],[Origem]],Tabela1[],2,FALSE)</f>
        <v>92</v>
      </c>
      <c r="D748" s="42">
        <f>VLOOKUP(Tabela13[[#This Row],[Destino]],Tabela1[],2,FALSE)</f>
        <v>21</v>
      </c>
      <c r="E748" s="51" t="s">
        <v>659</v>
      </c>
      <c r="F748" s="52" t="s">
        <v>1175</v>
      </c>
      <c r="H748" s="42" t="str">
        <f t="shared" si="22"/>
        <v>Capelas funerárias_Rua Paulino Afonso</v>
      </c>
      <c r="I748" s="42">
        <f t="shared" si="23"/>
        <v>-1</v>
      </c>
      <c r="J748" s="53">
        <f>COUNTIFS(H$2:H748, H748)-1</f>
        <v>1</v>
      </c>
      <c r="K748" s="42" cm="1">
        <f t="array" ref="K748">IF(I748=1,
    J748,
    MAX(IF(H:H=H748, J:J)) - J748
)</f>
        <v>2</v>
      </c>
    </row>
    <row r="749" spans="1:11" x14ac:dyDescent="0.2">
      <c r="A749" s="43" t="s">
        <v>92</v>
      </c>
      <c r="B749" s="44" t="s">
        <v>21</v>
      </c>
      <c r="C749" s="42">
        <f>VLOOKUP(Tabela13[[#This Row],[Origem]],Tabela1[],2,FALSE)</f>
        <v>92</v>
      </c>
      <c r="D749" s="42">
        <f>VLOOKUP(Tabela13[[#This Row],[Destino]],Tabela1[],2,FALSE)</f>
        <v>21</v>
      </c>
      <c r="E749" s="51" t="s">
        <v>660</v>
      </c>
      <c r="F749" s="52" t="s">
        <v>1176</v>
      </c>
      <c r="H749" s="42" t="str">
        <f t="shared" si="22"/>
        <v>Capelas funerárias_Rua Paulino Afonso</v>
      </c>
      <c r="I749" s="42">
        <f t="shared" si="23"/>
        <v>-1</v>
      </c>
      <c r="J749" s="53">
        <f>COUNTIFS(H$2:H749, H749)-1</f>
        <v>2</v>
      </c>
      <c r="K749" s="42" cm="1">
        <f t="array" ref="K749">IF(I749=1,
    J749,
    MAX(IF(H:H=H749, J:J)) - J749
)</f>
        <v>1</v>
      </c>
    </row>
    <row r="750" spans="1:11" x14ac:dyDescent="0.2">
      <c r="A750" s="43" t="s">
        <v>92</v>
      </c>
      <c r="B750" s="44" t="s">
        <v>21</v>
      </c>
      <c r="C750" s="42">
        <f>VLOOKUP(Tabela13[[#This Row],[Origem]],Tabela1[],2,FALSE)</f>
        <v>92</v>
      </c>
      <c r="D750" s="42">
        <f>VLOOKUP(Tabela13[[#This Row],[Destino]],Tabela1[],2,FALSE)</f>
        <v>21</v>
      </c>
      <c r="E750" s="51" t="s">
        <v>661</v>
      </c>
      <c r="F750" s="52" t="s">
        <v>1177</v>
      </c>
      <c r="H750" s="42" t="str">
        <f t="shared" si="22"/>
        <v>Capelas funerárias_Rua Paulino Afonso</v>
      </c>
      <c r="I750" s="42">
        <f t="shared" si="23"/>
        <v>-1</v>
      </c>
      <c r="J750" s="53">
        <f>COUNTIFS(H$2:H750, H750)-1</f>
        <v>3</v>
      </c>
      <c r="K750" s="42" cm="1">
        <f t="array" ref="K750">IF(I750=1,
    J750,
    MAX(IF(H:H=H750, J:J)) - J750
)</f>
        <v>0</v>
      </c>
    </row>
    <row r="751" spans="1:11" x14ac:dyDescent="0.2">
      <c r="A751" s="43" t="s">
        <v>93</v>
      </c>
      <c r="B751" s="44" t="s">
        <v>83</v>
      </c>
      <c r="C751" s="42">
        <f>VLOOKUP(Tabela13[[#This Row],[Origem]],Tabela1[],2,FALSE)</f>
        <v>93</v>
      </c>
      <c r="D751" s="42">
        <f>VLOOKUP(Tabela13[[#This Row],[Destino]],Tabela1[],2,FALSE)</f>
        <v>83</v>
      </c>
      <c r="E751" s="51" t="s">
        <v>662</v>
      </c>
      <c r="F751" s="52" t="s">
        <v>1178</v>
      </c>
      <c r="H751" s="42" t="str">
        <f t="shared" si="22"/>
        <v>Rua da Feira_Rua Paulo Barbosa</v>
      </c>
      <c r="I751" s="42">
        <f t="shared" si="23"/>
        <v>-1</v>
      </c>
      <c r="J751" s="53">
        <f>COUNTIFS(H$2:H751, H751)-1</f>
        <v>0</v>
      </c>
      <c r="K751" s="42" cm="1">
        <f t="array" ref="K751">IF(I751=1,
    J751,
    MAX(IF(H:H=H751, J:J)) - J751
)</f>
        <v>0</v>
      </c>
    </row>
    <row r="752" spans="1:11" x14ac:dyDescent="0.2">
      <c r="A752" s="43" t="s">
        <v>93</v>
      </c>
      <c r="B752" s="44" t="s">
        <v>38</v>
      </c>
      <c r="C752" s="42">
        <f>VLOOKUP(Tabela13[[#This Row],[Origem]],Tabela1[],2,FALSE)</f>
        <v>93</v>
      </c>
      <c r="D752" s="42">
        <f>VLOOKUP(Tabela13[[#This Row],[Destino]],Tabela1[],2,FALSE)</f>
        <v>38</v>
      </c>
      <c r="E752" s="51" t="s">
        <v>663</v>
      </c>
      <c r="F752" s="52" t="s">
        <v>1179</v>
      </c>
      <c r="H752" s="42" t="str">
        <f t="shared" si="22"/>
        <v>Igreja do Rosário_Rua Paulo Barbosa</v>
      </c>
      <c r="I752" s="42">
        <f t="shared" si="23"/>
        <v>-1</v>
      </c>
      <c r="J752" s="53">
        <f>COUNTIFS(H$2:H752, H752)-1</f>
        <v>0</v>
      </c>
      <c r="K752" s="42" cm="1">
        <f t="array" ref="K752">IF(I752=1,
    J752,
    MAX(IF(H:H=H752, J:J)) - J752
)</f>
        <v>2</v>
      </c>
    </row>
    <row r="753" spans="1:11" x14ac:dyDescent="0.2">
      <c r="A753" s="43" t="s">
        <v>93</v>
      </c>
      <c r="B753" s="44" t="s">
        <v>38</v>
      </c>
      <c r="C753" s="42">
        <f>VLOOKUP(Tabela13[[#This Row],[Origem]],Tabela1[],2,FALSE)</f>
        <v>93</v>
      </c>
      <c r="D753" s="42">
        <f>VLOOKUP(Tabela13[[#This Row],[Destino]],Tabela1[],2,FALSE)</f>
        <v>38</v>
      </c>
      <c r="E753" s="51" t="s">
        <v>664</v>
      </c>
      <c r="F753" s="52" t="s">
        <v>1180</v>
      </c>
      <c r="H753" s="42" t="str">
        <f t="shared" si="22"/>
        <v>Igreja do Rosário_Rua Paulo Barbosa</v>
      </c>
      <c r="I753" s="42">
        <f t="shared" si="23"/>
        <v>-1</v>
      </c>
      <c r="J753" s="53">
        <f>COUNTIFS(H$2:H753, H753)-1</f>
        <v>1</v>
      </c>
      <c r="K753" s="42" cm="1">
        <f t="array" ref="K753">IF(I753=1,
    J753,
    MAX(IF(H:H=H753, J:J)) - J753
)</f>
        <v>1</v>
      </c>
    </row>
    <row r="754" spans="1:11" x14ac:dyDescent="0.2">
      <c r="A754" s="43" t="s">
        <v>93</v>
      </c>
      <c r="B754" s="44" t="s">
        <v>38</v>
      </c>
      <c r="C754" s="42">
        <f>VLOOKUP(Tabela13[[#This Row],[Origem]],Tabela1[],2,FALSE)</f>
        <v>93</v>
      </c>
      <c r="D754" s="42">
        <f>VLOOKUP(Tabela13[[#This Row],[Destino]],Tabela1[],2,FALSE)</f>
        <v>38</v>
      </c>
      <c r="E754" s="51" t="s">
        <v>665</v>
      </c>
      <c r="F754" s="52" t="s">
        <v>1181</v>
      </c>
      <c r="H754" s="42" t="str">
        <f t="shared" si="22"/>
        <v>Igreja do Rosário_Rua Paulo Barbosa</v>
      </c>
      <c r="I754" s="42">
        <f t="shared" si="23"/>
        <v>-1</v>
      </c>
      <c r="J754" s="53">
        <f>COUNTIFS(H$2:H754, H754)-1</f>
        <v>2</v>
      </c>
      <c r="K754" s="42" cm="1">
        <f t="array" ref="K754">IF(I754=1,
    J754,
    MAX(IF(H:H=H754, J:J)) - J754
)</f>
        <v>0</v>
      </c>
    </row>
    <row r="755" spans="1:11" x14ac:dyDescent="0.2">
      <c r="A755" s="43" t="s">
        <v>94</v>
      </c>
      <c r="B755" s="44" t="s">
        <v>88</v>
      </c>
      <c r="C755" s="42">
        <f>VLOOKUP(Tabela13[[#This Row],[Origem]],Tabela1[],2,FALSE)</f>
        <v>94</v>
      </c>
      <c r="D755" s="42">
        <f>VLOOKUP(Tabela13[[#This Row],[Destino]],Tabela1[],2,FALSE)</f>
        <v>88</v>
      </c>
      <c r="E755" s="51" t="s">
        <v>381</v>
      </c>
      <c r="F755" s="52" t="s">
        <v>895</v>
      </c>
      <c r="H755" s="42" t="str">
        <f t="shared" si="22"/>
        <v>Rua Gonçalves Dias_Rua Rockfeller</v>
      </c>
      <c r="I755" s="42">
        <f t="shared" si="23"/>
        <v>-1</v>
      </c>
      <c r="J755" s="53">
        <f>COUNTIFS(H$2:H755, H755)-1</f>
        <v>0</v>
      </c>
      <c r="K755" s="42" cm="1">
        <f t="array" ref="K755">IF(I755=1,
    J755,
    MAX(IF(H:H=H755, J:J)) - J755
)</f>
        <v>11</v>
      </c>
    </row>
    <row r="756" spans="1:11" x14ac:dyDescent="0.2">
      <c r="A756" s="43" t="s">
        <v>94</v>
      </c>
      <c r="B756" s="44" t="s">
        <v>88</v>
      </c>
      <c r="C756" s="42">
        <f>VLOOKUP(Tabela13[[#This Row],[Origem]],Tabela1[],2,FALSE)</f>
        <v>94</v>
      </c>
      <c r="D756" s="42">
        <f>VLOOKUP(Tabela13[[#This Row],[Destino]],Tabela1[],2,FALSE)</f>
        <v>88</v>
      </c>
      <c r="E756" s="51" t="s">
        <v>382</v>
      </c>
      <c r="F756" s="52" t="s">
        <v>896</v>
      </c>
      <c r="H756" s="42" t="str">
        <f t="shared" si="22"/>
        <v>Rua Gonçalves Dias_Rua Rockfeller</v>
      </c>
      <c r="I756" s="42">
        <f t="shared" si="23"/>
        <v>-1</v>
      </c>
      <c r="J756" s="53">
        <f>COUNTIFS(H$2:H756, H756)-1</f>
        <v>1</v>
      </c>
      <c r="K756" s="42" cm="1">
        <f t="array" ref="K756">IF(I756=1,
    J756,
    MAX(IF(H:H=H756, J:J)) - J756
)</f>
        <v>10</v>
      </c>
    </row>
    <row r="757" spans="1:11" x14ac:dyDescent="0.2">
      <c r="A757" s="43" t="s">
        <v>94</v>
      </c>
      <c r="B757" s="44" t="s">
        <v>88</v>
      </c>
      <c r="C757" s="42">
        <f>VLOOKUP(Tabela13[[#This Row],[Origem]],Tabela1[],2,FALSE)</f>
        <v>94</v>
      </c>
      <c r="D757" s="42">
        <f>VLOOKUP(Tabela13[[#This Row],[Destino]],Tabela1[],2,FALSE)</f>
        <v>88</v>
      </c>
      <c r="E757" s="51" t="s">
        <v>383</v>
      </c>
      <c r="F757" s="52" t="s">
        <v>718</v>
      </c>
      <c r="H757" s="42" t="str">
        <f t="shared" si="22"/>
        <v>Rua Gonçalves Dias_Rua Rockfeller</v>
      </c>
      <c r="I757" s="42">
        <f t="shared" si="23"/>
        <v>-1</v>
      </c>
      <c r="J757" s="53">
        <f>COUNTIFS(H$2:H757, H757)-1</f>
        <v>2</v>
      </c>
      <c r="K757" s="42" cm="1">
        <f t="array" ref="K757">IF(I757=1,
    J757,
    MAX(IF(H:H=H757, J:J)) - J757
)</f>
        <v>9</v>
      </c>
    </row>
    <row r="758" spans="1:11" x14ac:dyDescent="0.2">
      <c r="A758" s="43" t="s">
        <v>94</v>
      </c>
      <c r="B758" s="44" t="s">
        <v>88</v>
      </c>
      <c r="C758" s="42">
        <f>VLOOKUP(Tabela13[[#This Row],[Origem]],Tabela1[],2,FALSE)</f>
        <v>94</v>
      </c>
      <c r="D758" s="42">
        <f>VLOOKUP(Tabela13[[#This Row],[Destino]],Tabela1[],2,FALSE)</f>
        <v>88</v>
      </c>
      <c r="E758" s="51" t="s">
        <v>384</v>
      </c>
      <c r="F758" s="52" t="s">
        <v>897</v>
      </c>
      <c r="H758" s="42" t="str">
        <f t="shared" si="22"/>
        <v>Rua Gonçalves Dias_Rua Rockfeller</v>
      </c>
      <c r="I758" s="42">
        <f t="shared" si="23"/>
        <v>-1</v>
      </c>
      <c r="J758" s="53">
        <f>COUNTIFS(H$2:H758, H758)-1</f>
        <v>3</v>
      </c>
      <c r="K758" s="42" cm="1">
        <f t="array" ref="K758">IF(I758=1,
    J758,
    MAX(IF(H:H=H758, J:J)) - J758
)</f>
        <v>8</v>
      </c>
    </row>
    <row r="759" spans="1:11" x14ac:dyDescent="0.2">
      <c r="A759" s="43" t="s">
        <v>94</v>
      </c>
      <c r="B759" s="44" t="s">
        <v>88</v>
      </c>
      <c r="C759" s="42">
        <f>VLOOKUP(Tabela13[[#This Row],[Origem]],Tabela1[],2,FALSE)</f>
        <v>94</v>
      </c>
      <c r="D759" s="42">
        <f>VLOOKUP(Tabela13[[#This Row],[Destino]],Tabela1[],2,FALSE)</f>
        <v>88</v>
      </c>
      <c r="E759" s="51" t="s">
        <v>385</v>
      </c>
      <c r="F759" s="52" t="s">
        <v>898</v>
      </c>
      <c r="H759" s="42" t="str">
        <f t="shared" si="22"/>
        <v>Rua Gonçalves Dias_Rua Rockfeller</v>
      </c>
      <c r="I759" s="42">
        <f t="shared" si="23"/>
        <v>-1</v>
      </c>
      <c r="J759" s="53">
        <f>COUNTIFS(H$2:H759, H759)-1</f>
        <v>4</v>
      </c>
      <c r="K759" s="42" cm="1">
        <f t="array" ref="K759">IF(I759=1,
    J759,
    MAX(IF(H:H=H759, J:J)) - J759
)</f>
        <v>7</v>
      </c>
    </row>
    <row r="760" spans="1:11" x14ac:dyDescent="0.2">
      <c r="A760" s="43" t="s">
        <v>94</v>
      </c>
      <c r="B760" s="44" t="s">
        <v>88</v>
      </c>
      <c r="C760" s="42">
        <f>VLOOKUP(Tabela13[[#This Row],[Origem]],Tabela1[],2,FALSE)</f>
        <v>94</v>
      </c>
      <c r="D760" s="42">
        <f>VLOOKUP(Tabela13[[#This Row],[Destino]],Tabela1[],2,FALSE)</f>
        <v>88</v>
      </c>
      <c r="E760" s="51" t="s">
        <v>386</v>
      </c>
      <c r="F760" s="52" t="s">
        <v>899</v>
      </c>
      <c r="H760" s="42" t="str">
        <f t="shared" si="22"/>
        <v>Rua Gonçalves Dias_Rua Rockfeller</v>
      </c>
      <c r="I760" s="42">
        <f t="shared" si="23"/>
        <v>-1</v>
      </c>
      <c r="J760" s="53">
        <f>COUNTIFS(H$2:H760, H760)-1</f>
        <v>5</v>
      </c>
      <c r="K760" s="42" cm="1">
        <f t="array" ref="K760">IF(I760=1,
    J760,
    MAX(IF(H:H=H760, J:J)) - J760
)</f>
        <v>6</v>
      </c>
    </row>
    <row r="761" spans="1:11" x14ac:dyDescent="0.2">
      <c r="A761" s="43" t="s">
        <v>94</v>
      </c>
      <c r="B761" s="44" t="s">
        <v>88</v>
      </c>
      <c r="C761" s="42">
        <f>VLOOKUP(Tabela13[[#This Row],[Origem]],Tabela1[],2,FALSE)</f>
        <v>94</v>
      </c>
      <c r="D761" s="42">
        <f>VLOOKUP(Tabela13[[#This Row],[Destino]],Tabela1[],2,FALSE)</f>
        <v>88</v>
      </c>
      <c r="E761" s="51" t="s">
        <v>387</v>
      </c>
      <c r="F761" s="52" t="s">
        <v>900</v>
      </c>
      <c r="H761" s="42" t="str">
        <f t="shared" si="22"/>
        <v>Rua Gonçalves Dias_Rua Rockfeller</v>
      </c>
      <c r="I761" s="42">
        <f t="shared" si="23"/>
        <v>-1</v>
      </c>
      <c r="J761" s="53">
        <f>COUNTIFS(H$2:H761, H761)-1</f>
        <v>6</v>
      </c>
      <c r="K761" s="42" cm="1">
        <f t="array" ref="K761">IF(I761=1,
    J761,
    MAX(IF(H:H=H761, J:J)) - J761
)</f>
        <v>5</v>
      </c>
    </row>
    <row r="762" spans="1:11" x14ac:dyDescent="0.2">
      <c r="A762" s="43" t="s">
        <v>94</v>
      </c>
      <c r="B762" s="44" t="s">
        <v>88</v>
      </c>
      <c r="C762" s="42">
        <f>VLOOKUP(Tabela13[[#This Row],[Origem]],Tabela1[],2,FALSE)</f>
        <v>94</v>
      </c>
      <c r="D762" s="42">
        <f>VLOOKUP(Tabela13[[#This Row],[Destino]],Tabela1[],2,FALSE)</f>
        <v>88</v>
      </c>
      <c r="E762" s="51" t="s">
        <v>388</v>
      </c>
      <c r="F762" s="52" t="s">
        <v>901</v>
      </c>
      <c r="H762" s="42" t="str">
        <f t="shared" si="22"/>
        <v>Rua Gonçalves Dias_Rua Rockfeller</v>
      </c>
      <c r="I762" s="42">
        <f t="shared" si="23"/>
        <v>-1</v>
      </c>
      <c r="J762" s="53">
        <f>COUNTIFS(H$2:H762, H762)-1</f>
        <v>7</v>
      </c>
      <c r="K762" s="42" cm="1">
        <f t="array" ref="K762">IF(I762=1,
    J762,
    MAX(IF(H:H=H762, J:J)) - J762
)</f>
        <v>4</v>
      </c>
    </row>
    <row r="763" spans="1:11" x14ac:dyDescent="0.2">
      <c r="A763" s="43" t="s">
        <v>94</v>
      </c>
      <c r="B763" s="44" t="s">
        <v>88</v>
      </c>
      <c r="C763" s="42">
        <f>VLOOKUP(Tabela13[[#This Row],[Origem]],Tabela1[],2,FALSE)</f>
        <v>94</v>
      </c>
      <c r="D763" s="42">
        <f>VLOOKUP(Tabela13[[#This Row],[Destino]],Tabela1[],2,FALSE)</f>
        <v>88</v>
      </c>
      <c r="E763" s="51" t="s">
        <v>389</v>
      </c>
      <c r="F763" s="52" t="s">
        <v>902</v>
      </c>
      <c r="H763" s="42" t="str">
        <f t="shared" si="22"/>
        <v>Rua Gonçalves Dias_Rua Rockfeller</v>
      </c>
      <c r="I763" s="42">
        <f t="shared" si="23"/>
        <v>-1</v>
      </c>
      <c r="J763" s="53">
        <f>COUNTIFS(H$2:H763, H763)-1</f>
        <v>8</v>
      </c>
      <c r="K763" s="42" cm="1">
        <f t="array" ref="K763">IF(I763=1,
    J763,
    MAX(IF(H:H=H763, J:J)) - J763
)</f>
        <v>3</v>
      </c>
    </row>
    <row r="764" spans="1:11" x14ac:dyDescent="0.2">
      <c r="A764" s="43" t="s">
        <v>94</v>
      </c>
      <c r="B764" s="44" t="s">
        <v>88</v>
      </c>
      <c r="C764" s="42">
        <f>VLOOKUP(Tabela13[[#This Row],[Origem]],Tabela1[],2,FALSE)</f>
        <v>94</v>
      </c>
      <c r="D764" s="42">
        <f>VLOOKUP(Tabela13[[#This Row],[Destino]],Tabela1[],2,FALSE)</f>
        <v>88</v>
      </c>
      <c r="E764" s="51" t="s">
        <v>390</v>
      </c>
      <c r="F764" s="52" t="s">
        <v>903</v>
      </c>
      <c r="H764" s="42" t="str">
        <f t="shared" si="22"/>
        <v>Rua Gonçalves Dias_Rua Rockfeller</v>
      </c>
      <c r="I764" s="42">
        <f t="shared" si="23"/>
        <v>-1</v>
      </c>
      <c r="J764" s="53">
        <f>COUNTIFS(H$2:H764, H764)-1</f>
        <v>9</v>
      </c>
      <c r="K764" s="42" cm="1">
        <f t="array" ref="K764">IF(I764=1,
    J764,
    MAX(IF(H:H=H764, J:J)) - J764
)</f>
        <v>2</v>
      </c>
    </row>
    <row r="765" spans="1:11" x14ac:dyDescent="0.2">
      <c r="A765" s="43" t="s">
        <v>94</v>
      </c>
      <c r="B765" s="44" t="s">
        <v>88</v>
      </c>
      <c r="C765" s="42">
        <f>VLOOKUP(Tabela13[[#This Row],[Origem]],Tabela1[],2,FALSE)</f>
        <v>94</v>
      </c>
      <c r="D765" s="42">
        <f>VLOOKUP(Tabela13[[#This Row],[Destino]],Tabela1[],2,FALSE)</f>
        <v>88</v>
      </c>
      <c r="E765" s="51" t="s">
        <v>391</v>
      </c>
      <c r="F765" s="52" t="s">
        <v>904</v>
      </c>
      <c r="H765" s="42" t="str">
        <f t="shared" si="22"/>
        <v>Rua Gonçalves Dias_Rua Rockfeller</v>
      </c>
      <c r="I765" s="42">
        <f t="shared" si="23"/>
        <v>-1</v>
      </c>
      <c r="J765" s="53">
        <f>COUNTIFS(H$2:H765, H765)-1</f>
        <v>10</v>
      </c>
      <c r="K765" s="42" cm="1">
        <f t="array" ref="K765">IF(I765=1,
    J765,
    MAX(IF(H:H=H765, J:J)) - J765
)</f>
        <v>1</v>
      </c>
    </row>
    <row r="766" spans="1:11" x14ac:dyDescent="0.2">
      <c r="A766" s="43" t="s">
        <v>94</v>
      </c>
      <c r="B766" s="44" t="s">
        <v>88</v>
      </c>
      <c r="C766" s="42">
        <f>VLOOKUP(Tabela13[[#This Row],[Origem]],Tabela1[],2,FALSE)</f>
        <v>94</v>
      </c>
      <c r="D766" s="42">
        <f>VLOOKUP(Tabela13[[#This Row],[Destino]],Tabela1[],2,FALSE)</f>
        <v>88</v>
      </c>
      <c r="E766" s="51" t="s">
        <v>392</v>
      </c>
      <c r="F766" s="52" t="s">
        <v>905</v>
      </c>
      <c r="H766" s="42" t="str">
        <f t="shared" si="22"/>
        <v>Rua Gonçalves Dias_Rua Rockfeller</v>
      </c>
      <c r="I766" s="42">
        <f t="shared" si="23"/>
        <v>-1</v>
      </c>
      <c r="J766" s="53">
        <f>COUNTIFS(H$2:H766, H766)-1</f>
        <v>11</v>
      </c>
      <c r="K766" s="42" cm="1">
        <f t="array" ref="K766">IF(I766=1,
    J766,
    MAX(IF(H:H=H766, J:J)) - J766
)</f>
        <v>0</v>
      </c>
    </row>
    <row r="767" spans="1:11" x14ac:dyDescent="0.2">
      <c r="A767" s="43" t="s">
        <v>94</v>
      </c>
      <c r="B767" s="44" t="s">
        <v>55</v>
      </c>
      <c r="C767" s="42">
        <f>VLOOKUP(Tabela13[[#This Row],[Origem]],Tabela1[],2,FALSE)</f>
        <v>94</v>
      </c>
      <c r="D767" s="42">
        <f>VLOOKUP(Tabela13[[#This Row],[Destino]],Tabela1[],2,FALSE)</f>
        <v>55</v>
      </c>
      <c r="E767" s="51" t="s">
        <v>492</v>
      </c>
      <c r="F767" s="52" t="s">
        <v>1005</v>
      </c>
      <c r="H767" s="42" t="str">
        <f t="shared" si="22"/>
        <v>Palácio Itaboraí_Rua Rockfeller</v>
      </c>
      <c r="I767" s="42">
        <f t="shared" si="23"/>
        <v>-1</v>
      </c>
      <c r="J767" s="53">
        <f>COUNTIFS(H$2:H767, H767)-1</f>
        <v>1</v>
      </c>
      <c r="K767" s="42" cm="1">
        <f t="array" ref="K767">IF(I767=1,
    J767,
    MAX(IF(H:H=H767, J:J)) - J767
)</f>
        <v>0</v>
      </c>
    </row>
    <row r="768" spans="1:11" x14ac:dyDescent="0.2">
      <c r="A768" s="43" t="s">
        <v>94</v>
      </c>
      <c r="B768" s="44" t="s">
        <v>24</v>
      </c>
      <c r="C768" s="42">
        <f>VLOOKUP(Tabela13[[#This Row],[Origem]],Tabela1[],2,FALSE)</f>
        <v>94</v>
      </c>
      <c r="D768" s="42">
        <f>VLOOKUP(Tabela13[[#This Row],[Destino]],Tabela1[],2,FALSE)</f>
        <v>24</v>
      </c>
      <c r="E768" s="51" t="s">
        <v>381</v>
      </c>
      <c r="F768" s="52" t="s">
        <v>895</v>
      </c>
      <c r="H768" s="42" t="str">
        <f t="shared" si="22"/>
        <v>Cemitério_Rua Rockfeller</v>
      </c>
      <c r="I768" s="42">
        <f t="shared" si="23"/>
        <v>-1</v>
      </c>
      <c r="J768" s="53">
        <f>COUNTIFS(H$2:H768, H768)-1</f>
        <v>12</v>
      </c>
      <c r="K768" s="42" cm="1">
        <f t="array" ref="K768">IF(I768=1,
    J768,
    MAX(IF(H:H=H768, J:J)) - J768
)</f>
        <v>11</v>
      </c>
    </row>
    <row r="769" spans="1:11" x14ac:dyDescent="0.2">
      <c r="A769" s="43" t="s">
        <v>94</v>
      </c>
      <c r="B769" s="44" t="s">
        <v>24</v>
      </c>
      <c r="C769" s="42">
        <f>VLOOKUP(Tabela13[[#This Row],[Origem]],Tabela1[],2,FALSE)</f>
        <v>94</v>
      </c>
      <c r="D769" s="42">
        <f>VLOOKUP(Tabela13[[#This Row],[Destino]],Tabela1[],2,FALSE)</f>
        <v>24</v>
      </c>
      <c r="E769" s="51" t="s">
        <v>382</v>
      </c>
      <c r="F769" s="52" t="s">
        <v>896</v>
      </c>
      <c r="H769" s="42" t="str">
        <f t="shared" si="22"/>
        <v>Cemitério_Rua Rockfeller</v>
      </c>
      <c r="I769" s="42">
        <f t="shared" si="23"/>
        <v>-1</v>
      </c>
      <c r="J769" s="53">
        <f>COUNTIFS(H$2:H769, H769)-1</f>
        <v>13</v>
      </c>
      <c r="K769" s="42" cm="1">
        <f t="array" ref="K769">IF(I769=1,
    J769,
    MAX(IF(H:H=H769, J:J)) - J769
)</f>
        <v>10</v>
      </c>
    </row>
    <row r="770" spans="1:11" x14ac:dyDescent="0.2">
      <c r="A770" s="43" t="s">
        <v>94</v>
      </c>
      <c r="B770" s="44" t="s">
        <v>24</v>
      </c>
      <c r="C770" s="42">
        <f>VLOOKUP(Tabela13[[#This Row],[Origem]],Tabela1[],2,FALSE)</f>
        <v>94</v>
      </c>
      <c r="D770" s="42">
        <f>VLOOKUP(Tabela13[[#This Row],[Destino]],Tabela1[],2,FALSE)</f>
        <v>24</v>
      </c>
      <c r="E770" s="51" t="s">
        <v>383</v>
      </c>
      <c r="F770" s="52" t="s">
        <v>718</v>
      </c>
      <c r="H770" s="42" t="str">
        <f t="shared" ref="H770:H833" si="24">IF(A770&lt;B770, A770&amp;"_"&amp;B770, B770&amp;"_"&amp;A770)</f>
        <v>Cemitério_Rua Rockfeller</v>
      </c>
      <c r="I770" s="42">
        <f t="shared" ref="I770:I833" si="25">IF(A770&lt;B770, 1, -1)</f>
        <v>-1</v>
      </c>
      <c r="J770" s="53">
        <f>COUNTIFS(H$2:H770, H770)-1</f>
        <v>14</v>
      </c>
      <c r="K770" s="42" cm="1">
        <f t="array" ref="K770">IF(I770=1,
    J770,
    MAX(IF(H:H=H770, J:J)) - J770
)</f>
        <v>9</v>
      </c>
    </row>
    <row r="771" spans="1:11" x14ac:dyDescent="0.2">
      <c r="A771" s="43" t="s">
        <v>94</v>
      </c>
      <c r="B771" s="44" t="s">
        <v>24</v>
      </c>
      <c r="C771" s="42">
        <f>VLOOKUP(Tabela13[[#This Row],[Origem]],Tabela1[],2,FALSE)</f>
        <v>94</v>
      </c>
      <c r="D771" s="42">
        <f>VLOOKUP(Tabela13[[#This Row],[Destino]],Tabela1[],2,FALSE)</f>
        <v>24</v>
      </c>
      <c r="E771" s="51" t="s">
        <v>384</v>
      </c>
      <c r="F771" s="52" t="s">
        <v>897</v>
      </c>
      <c r="H771" s="42" t="str">
        <f t="shared" si="24"/>
        <v>Cemitério_Rua Rockfeller</v>
      </c>
      <c r="I771" s="42">
        <f t="shared" si="25"/>
        <v>-1</v>
      </c>
      <c r="J771" s="53">
        <f>COUNTIFS(H$2:H771, H771)-1</f>
        <v>15</v>
      </c>
      <c r="K771" s="42" cm="1">
        <f t="array" ref="K771">IF(I771=1,
    J771,
    MAX(IF(H:H=H771, J:J)) - J771
)</f>
        <v>8</v>
      </c>
    </row>
    <row r="772" spans="1:11" x14ac:dyDescent="0.2">
      <c r="A772" s="43" t="s">
        <v>94</v>
      </c>
      <c r="B772" s="44" t="s">
        <v>24</v>
      </c>
      <c r="C772" s="42">
        <f>VLOOKUP(Tabela13[[#This Row],[Origem]],Tabela1[],2,FALSE)</f>
        <v>94</v>
      </c>
      <c r="D772" s="42">
        <f>VLOOKUP(Tabela13[[#This Row],[Destino]],Tabela1[],2,FALSE)</f>
        <v>24</v>
      </c>
      <c r="E772" s="51" t="s">
        <v>385</v>
      </c>
      <c r="F772" s="52" t="s">
        <v>898</v>
      </c>
      <c r="H772" s="42" t="str">
        <f t="shared" si="24"/>
        <v>Cemitério_Rua Rockfeller</v>
      </c>
      <c r="I772" s="42">
        <f t="shared" si="25"/>
        <v>-1</v>
      </c>
      <c r="J772" s="53">
        <f>COUNTIFS(H$2:H772, H772)-1</f>
        <v>16</v>
      </c>
      <c r="K772" s="42" cm="1">
        <f t="array" ref="K772">IF(I772=1,
    J772,
    MAX(IF(H:H=H772, J:J)) - J772
)</f>
        <v>7</v>
      </c>
    </row>
    <row r="773" spans="1:11" x14ac:dyDescent="0.2">
      <c r="A773" s="43" t="s">
        <v>94</v>
      </c>
      <c r="B773" s="44" t="s">
        <v>24</v>
      </c>
      <c r="C773" s="42">
        <f>VLOOKUP(Tabela13[[#This Row],[Origem]],Tabela1[],2,FALSE)</f>
        <v>94</v>
      </c>
      <c r="D773" s="42">
        <f>VLOOKUP(Tabela13[[#This Row],[Destino]],Tabela1[],2,FALSE)</f>
        <v>24</v>
      </c>
      <c r="E773" s="51" t="s">
        <v>386</v>
      </c>
      <c r="F773" s="52" t="s">
        <v>899</v>
      </c>
      <c r="H773" s="42" t="str">
        <f t="shared" si="24"/>
        <v>Cemitério_Rua Rockfeller</v>
      </c>
      <c r="I773" s="42">
        <f t="shared" si="25"/>
        <v>-1</v>
      </c>
      <c r="J773" s="53">
        <f>COUNTIFS(H$2:H773, H773)-1</f>
        <v>17</v>
      </c>
      <c r="K773" s="42" cm="1">
        <f t="array" ref="K773">IF(I773=1,
    J773,
    MAX(IF(H:H=H773, J:J)) - J773
)</f>
        <v>6</v>
      </c>
    </row>
    <row r="774" spans="1:11" x14ac:dyDescent="0.2">
      <c r="A774" s="43" t="s">
        <v>94</v>
      </c>
      <c r="B774" s="44" t="s">
        <v>24</v>
      </c>
      <c r="C774" s="42">
        <f>VLOOKUP(Tabela13[[#This Row],[Origem]],Tabela1[],2,FALSE)</f>
        <v>94</v>
      </c>
      <c r="D774" s="42">
        <f>VLOOKUP(Tabela13[[#This Row],[Destino]],Tabela1[],2,FALSE)</f>
        <v>24</v>
      </c>
      <c r="E774" s="51" t="s">
        <v>387</v>
      </c>
      <c r="F774" s="52" t="s">
        <v>900</v>
      </c>
      <c r="H774" s="42" t="str">
        <f t="shared" si="24"/>
        <v>Cemitério_Rua Rockfeller</v>
      </c>
      <c r="I774" s="42">
        <f t="shared" si="25"/>
        <v>-1</v>
      </c>
      <c r="J774" s="53">
        <f>COUNTIFS(H$2:H774, H774)-1</f>
        <v>18</v>
      </c>
      <c r="K774" s="42" cm="1">
        <f t="array" ref="K774">IF(I774=1,
    J774,
    MAX(IF(H:H=H774, J:J)) - J774
)</f>
        <v>5</v>
      </c>
    </row>
    <row r="775" spans="1:11" x14ac:dyDescent="0.2">
      <c r="A775" s="43" t="s">
        <v>94</v>
      </c>
      <c r="B775" s="44" t="s">
        <v>24</v>
      </c>
      <c r="C775" s="42">
        <f>VLOOKUP(Tabela13[[#This Row],[Origem]],Tabela1[],2,FALSE)</f>
        <v>94</v>
      </c>
      <c r="D775" s="42">
        <f>VLOOKUP(Tabela13[[#This Row],[Destino]],Tabela1[],2,FALSE)</f>
        <v>24</v>
      </c>
      <c r="E775" s="51" t="s">
        <v>388</v>
      </c>
      <c r="F775" s="52" t="s">
        <v>901</v>
      </c>
      <c r="H775" s="42" t="str">
        <f t="shared" si="24"/>
        <v>Cemitério_Rua Rockfeller</v>
      </c>
      <c r="I775" s="42">
        <f t="shared" si="25"/>
        <v>-1</v>
      </c>
      <c r="J775" s="53">
        <f>COUNTIFS(H$2:H775, H775)-1</f>
        <v>19</v>
      </c>
      <c r="K775" s="42" cm="1">
        <f t="array" ref="K775">IF(I775=1,
    J775,
    MAX(IF(H:H=H775, J:J)) - J775
)</f>
        <v>4</v>
      </c>
    </row>
    <row r="776" spans="1:11" x14ac:dyDescent="0.2">
      <c r="A776" s="43" t="s">
        <v>94</v>
      </c>
      <c r="B776" s="44" t="s">
        <v>24</v>
      </c>
      <c r="C776" s="42">
        <f>VLOOKUP(Tabela13[[#This Row],[Origem]],Tabela1[],2,FALSE)</f>
        <v>94</v>
      </c>
      <c r="D776" s="42">
        <f>VLOOKUP(Tabela13[[#This Row],[Destino]],Tabela1[],2,FALSE)</f>
        <v>24</v>
      </c>
      <c r="E776" s="51" t="s">
        <v>389</v>
      </c>
      <c r="F776" s="52" t="s">
        <v>902</v>
      </c>
      <c r="H776" s="42" t="str">
        <f t="shared" si="24"/>
        <v>Cemitério_Rua Rockfeller</v>
      </c>
      <c r="I776" s="42">
        <f t="shared" si="25"/>
        <v>-1</v>
      </c>
      <c r="J776" s="53">
        <f>COUNTIFS(H$2:H776, H776)-1</f>
        <v>20</v>
      </c>
      <c r="K776" s="42" cm="1">
        <f t="array" ref="K776">IF(I776=1,
    J776,
    MAX(IF(H:H=H776, J:J)) - J776
)</f>
        <v>3</v>
      </c>
    </row>
    <row r="777" spans="1:11" x14ac:dyDescent="0.2">
      <c r="A777" s="43" t="s">
        <v>94</v>
      </c>
      <c r="B777" s="44" t="s">
        <v>24</v>
      </c>
      <c r="C777" s="42">
        <f>VLOOKUP(Tabela13[[#This Row],[Origem]],Tabela1[],2,FALSE)</f>
        <v>94</v>
      </c>
      <c r="D777" s="42">
        <f>VLOOKUP(Tabela13[[#This Row],[Destino]],Tabela1[],2,FALSE)</f>
        <v>24</v>
      </c>
      <c r="E777" s="51" t="s">
        <v>390</v>
      </c>
      <c r="F777" s="52" t="s">
        <v>903</v>
      </c>
      <c r="H777" s="42" t="str">
        <f t="shared" si="24"/>
        <v>Cemitério_Rua Rockfeller</v>
      </c>
      <c r="I777" s="42">
        <f t="shared" si="25"/>
        <v>-1</v>
      </c>
      <c r="J777" s="53">
        <f>COUNTIFS(H$2:H777, H777)-1</f>
        <v>21</v>
      </c>
      <c r="K777" s="42" cm="1">
        <f t="array" ref="K777">IF(I777=1,
    J777,
    MAX(IF(H:H=H777, J:J)) - J777
)</f>
        <v>2</v>
      </c>
    </row>
    <row r="778" spans="1:11" x14ac:dyDescent="0.2">
      <c r="A778" s="43" t="s">
        <v>94</v>
      </c>
      <c r="B778" s="44" t="s">
        <v>24</v>
      </c>
      <c r="C778" s="42">
        <f>VLOOKUP(Tabela13[[#This Row],[Origem]],Tabela1[],2,FALSE)</f>
        <v>94</v>
      </c>
      <c r="D778" s="42">
        <f>VLOOKUP(Tabela13[[#This Row],[Destino]],Tabela1[],2,FALSE)</f>
        <v>24</v>
      </c>
      <c r="E778" s="51" t="s">
        <v>391</v>
      </c>
      <c r="F778" s="52" t="s">
        <v>904</v>
      </c>
      <c r="H778" s="42" t="str">
        <f t="shared" si="24"/>
        <v>Cemitério_Rua Rockfeller</v>
      </c>
      <c r="I778" s="42">
        <f t="shared" si="25"/>
        <v>-1</v>
      </c>
      <c r="J778" s="53">
        <f>COUNTIFS(H$2:H778, H778)-1</f>
        <v>22</v>
      </c>
      <c r="K778" s="42" cm="1">
        <f t="array" ref="K778">IF(I778=1,
    J778,
    MAX(IF(H:H=H778, J:J)) - J778
)</f>
        <v>1</v>
      </c>
    </row>
    <row r="779" spans="1:11" x14ac:dyDescent="0.2">
      <c r="A779" s="43" t="s">
        <v>94</v>
      </c>
      <c r="B779" s="44" t="s">
        <v>24</v>
      </c>
      <c r="C779" s="42">
        <f>VLOOKUP(Tabela13[[#This Row],[Origem]],Tabela1[],2,FALSE)</f>
        <v>94</v>
      </c>
      <c r="D779" s="42">
        <f>VLOOKUP(Tabela13[[#This Row],[Destino]],Tabela1[],2,FALSE)</f>
        <v>24</v>
      </c>
      <c r="E779" s="51" t="s">
        <v>392</v>
      </c>
      <c r="F779" s="52" t="s">
        <v>905</v>
      </c>
      <c r="H779" s="42" t="str">
        <f t="shared" si="24"/>
        <v>Cemitério_Rua Rockfeller</v>
      </c>
      <c r="I779" s="42">
        <f t="shared" si="25"/>
        <v>-1</v>
      </c>
      <c r="J779" s="53">
        <f>COUNTIFS(H$2:H779, H779)-1</f>
        <v>23</v>
      </c>
      <c r="K779" s="42" cm="1">
        <f t="array" ref="K779">IF(I779=1,
    J779,
    MAX(IF(H:H=H779, J:J)) - J779
)</f>
        <v>0</v>
      </c>
    </row>
    <row r="780" spans="1:11" x14ac:dyDescent="0.2">
      <c r="A780" s="43" t="s">
        <v>95</v>
      </c>
      <c r="B780" s="44" t="s">
        <v>18</v>
      </c>
      <c r="C780" s="42">
        <f>VLOOKUP(Tabela13[[#This Row],[Origem]],Tabela1[],2,FALSE)</f>
        <v>95</v>
      </c>
      <c r="D780" s="42">
        <f>VLOOKUP(Tabela13[[#This Row],[Destino]],Tabela1[],2,FALSE)</f>
        <v>18</v>
      </c>
      <c r="E780" s="51" t="s">
        <v>666</v>
      </c>
      <c r="F780" s="52" t="s">
        <v>1182</v>
      </c>
      <c r="H780" s="42" t="str">
        <f t="shared" si="24"/>
        <v>Boate Big House_Rua Santos Dumont</v>
      </c>
      <c r="I780" s="42">
        <f t="shared" si="25"/>
        <v>-1</v>
      </c>
      <c r="J780" s="53">
        <f>COUNTIFS(H$2:H780, H780)-1</f>
        <v>0</v>
      </c>
      <c r="K780" s="42" cm="1">
        <f t="array" ref="K780">IF(I780=1,
    J780,
    MAX(IF(H:H=H780, J:J)) - J780
)</f>
        <v>8</v>
      </c>
    </row>
    <row r="781" spans="1:11" x14ac:dyDescent="0.2">
      <c r="A781" s="43" t="s">
        <v>95</v>
      </c>
      <c r="B781" s="44" t="s">
        <v>18</v>
      </c>
      <c r="C781" s="42">
        <f>VLOOKUP(Tabela13[[#This Row],[Origem]],Tabela1[],2,FALSE)</f>
        <v>95</v>
      </c>
      <c r="D781" s="42">
        <f>VLOOKUP(Tabela13[[#This Row],[Destino]],Tabela1[],2,FALSE)</f>
        <v>18</v>
      </c>
      <c r="E781" s="51" t="s">
        <v>667</v>
      </c>
      <c r="F781" s="52" t="s">
        <v>1183</v>
      </c>
      <c r="H781" s="42" t="str">
        <f t="shared" si="24"/>
        <v>Boate Big House_Rua Santos Dumont</v>
      </c>
      <c r="I781" s="42">
        <f t="shared" si="25"/>
        <v>-1</v>
      </c>
      <c r="J781" s="53">
        <f>COUNTIFS(H$2:H781, H781)-1</f>
        <v>1</v>
      </c>
      <c r="K781" s="42" cm="1">
        <f t="array" ref="K781">IF(I781=1,
    J781,
    MAX(IF(H:H=H781, J:J)) - J781
)</f>
        <v>7</v>
      </c>
    </row>
    <row r="782" spans="1:11" x14ac:dyDescent="0.2">
      <c r="A782" s="43" t="s">
        <v>95</v>
      </c>
      <c r="B782" s="44" t="s">
        <v>18</v>
      </c>
      <c r="C782" s="42">
        <f>VLOOKUP(Tabela13[[#This Row],[Origem]],Tabela1[],2,FALSE)</f>
        <v>95</v>
      </c>
      <c r="D782" s="42">
        <f>VLOOKUP(Tabela13[[#This Row],[Destino]],Tabela1[],2,FALSE)</f>
        <v>18</v>
      </c>
      <c r="E782" s="51" t="s">
        <v>668</v>
      </c>
      <c r="F782" s="52" t="s">
        <v>1184</v>
      </c>
      <c r="H782" s="42" t="str">
        <f t="shared" si="24"/>
        <v>Boate Big House_Rua Santos Dumont</v>
      </c>
      <c r="I782" s="42">
        <f t="shared" si="25"/>
        <v>-1</v>
      </c>
      <c r="J782" s="53">
        <f>COUNTIFS(H$2:H782, H782)-1</f>
        <v>2</v>
      </c>
      <c r="K782" s="42" cm="1">
        <f t="array" ref="K782">IF(I782=1,
    J782,
    MAX(IF(H:H=H782, J:J)) - J782
)</f>
        <v>6</v>
      </c>
    </row>
    <row r="783" spans="1:11" x14ac:dyDescent="0.2">
      <c r="A783" s="43" t="s">
        <v>95</v>
      </c>
      <c r="B783" s="44" t="s">
        <v>18</v>
      </c>
      <c r="C783" s="42">
        <f>VLOOKUP(Tabela13[[#This Row],[Origem]],Tabela1[],2,FALSE)</f>
        <v>95</v>
      </c>
      <c r="D783" s="42">
        <f>VLOOKUP(Tabela13[[#This Row],[Destino]],Tabela1[],2,FALSE)</f>
        <v>18</v>
      </c>
      <c r="E783" s="51" t="s">
        <v>669</v>
      </c>
      <c r="F783" s="52" t="s">
        <v>1185</v>
      </c>
      <c r="H783" s="42" t="str">
        <f t="shared" si="24"/>
        <v>Boate Big House_Rua Santos Dumont</v>
      </c>
      <c r="I783" s="42">
        <f t="shared" si="25"/>
        <v>-1</v>
      </c>
      <c r="J783" s="53">
        <f>COUNTIFS(H$2:H783, H783)-1</f>
        <v>3</v>
      </c>
      <c r="K783" s="42" cm="1">
        <f t="array" ref="K783">IF(I783=1,
    J783,
    MAX(IF(H:H=H783, J:J)) - J783
)</f>
        <v>5</v>
      </c>
    </row>
    <row r="784" spans="1:11" x14ac:dyDescent="0.2">
      <c r="A784" s="43" t="s">
        <v>95</v>
      </c>
      <c r="B784" s="44" t="s">
        <v>18</v>
      </c>
      <c r="C784" s="42">
        <f>VLOOKUP(Tabela13[[#This Row],[Origem]],Tabela1[],2,FALSE)</f>
        <v>95</v>
      </c>
      <c r="D784" s="42">
        <f>VLOOKUP(Tabela13[[#This Row],[Destino]],Tabela1[],2,FALSE)</f>
        <v>18</v>
      </c>
      <c r="E784" s="51" t="s">
        <v>670</v>
      </c>
      <c r="F784" s="52" t="s">
        <v>1186</v>
      </c>
      <c r="H784" s="42" t="str">
        <f t="shared" si="24"/>
        <v>Boate Big House_Rua Santos Dumont</v>
      </c>
      <c r="I784" s="42">
        <f t="shared" si="25"/>
        <v>-1</v>
      </c>
      <c r="J784" s="53">
        <f>COUNTIFS(H$2:H784, H784)-1</f>
        <v>4</v>
      </c>
      <c r="K784" s="42" cm="1">
        <f t="array" ref="K784">IF(I784=1,
    J784,
    MAX(IF(H:H=H784, J:J)) - J784
)</f>
        <v>4</v>
      </c>
    </row>
    <row r="785" spans="1:11" x14ac:dyDescent="0.2">
      <c r="A785" s="43" t="s">
        <v>95</v>
      </c>
      <c r="B785" s="44" t="s">
        <v>18</v>
      </c>
      <c r="C785" s="42">
        <f>VLOOKUP(Tabela13[[#This Row],[Origem]],Tabela1[],2,FALSE)</f>
        <v>95</v>
      </c>
      <c r="D785" s="42">
        <f>VLOOKUP(Tabela13[[#This Row],[Destino]],Tabela1[],2,FALSE)</f>
        <v>18</v>
      </c>
      <c r="E785" s="51" t="s">
        <v>671</v>
      </c>
      <c r="F785" s="52" t="s">
        <v>1187</v>
      </c>
      <c r="H785" s="42" t="str">
        <f t="shared" si="24"/>
        <v>Boate Big House_Rua Santos Dumont</v>
      </c>
      <c r="I785" s="42">
        <f t="shared" si="25"/>
        <v>-1</v>
      </c>
      <c r="J785" s="53">
        <f>COUNTIFS(H$2:H785, H785)-1</f>
        <v>5</v>
      </c>
      <c r="K785" s="42" cm="1">
        <f t="array" ref="K785">IF(I785=1,
    J785,
    MAX(IF(H:H=H785, J:J)) - J785
)</f>
        <v>3</v>
      </c>
    </row>
    <row r="786" spans="1:11" x14ac:dyDescent="0.2">
      <c r="A786" s="43" t="s">
        <v>95</v>
      </c>
      <c r="B786" s="44" t="s">
        <v>18</v>
      </c>
      <c r="C786" s="42">
        <f>VLOOKUP(Tabela13[[#This Row],[Origem]],Tabela1[],2,FALSE)</f>
        <v>95</v>
      </c>
      <c r="D786" s="42">
        <f>VLOOKUP(Tabela13[[#This Row],[Destino]],Tabela1[],2,FALSE)</f>
        <v>18</v>
      </c>
      <c r="E786" s="51" t="s">
        <v>672</v>
      </c>
      <c r="F786" s="52" t="s">
        <v>1188</v>
      </c>
      <c r="H786" s="42" t="str">
        <f t="shared" si="24"/>
        <v>Boate Big House_Rua Santos Dumont</v>
      </c>
      <c r="I786" s="42">
        <f t="shared" si="25"/>
        <v>-1</v>
      </c>
      <c r="J786" s="53">
        <f>COUNTIFS(H$2:H786, H786)-1</f>
        <v>6</v>
      </c>
      <c r="K786" s="42" cm="1">
        <f t="array" ref="K786">IF(I786=1,
    J786,
    MAX(IF(H:H=H786, J:J)) - J786
)</f>
        <v>2</v>
      </c>
    </row>
    <row r="787" spans="1:11" x14ac:dyDescent="0.2">
      <c r="A787" s="43" t="s">
        <v>95</v>
      </c>
      <c r="B787" s="44" t="s">
        <v>18</v>
      </c>
      <c r="C787" s="42">
        <f>VLOOKUP(Tabela13[[#This Row],[Origem]],Tabela1[],2,FALSE)</f>
        <v>95</v>
      </c>
      <c r="D787" s="42">
        <f>VLOOKUP(Tabela13[[#This Row],[Destino]],Tabela1[],2,FALSE)</f>
        <v>18</v>
      </c>
      <c r="E787" s="51" t="s">
        <v>673</v>
      </c>
      <c r="F787" s="52" t="s">
        <v>1189</v>
      </c>
      <c r="H787" s="42" t="str">
        <f t="shared" si="24"/>
        <v>Boate Big House_Rua Santos Dumont</v>
      </c>
      <c r="I787" s="42">
        <f t="shared" si="25"/>
        <v>-1</v>
      </c>
      <c r="J787" s="53">
        <f>COUNTIFS(H$2:H787, H787)-1</f>
        <v>7</v>
      </c>
      <c r="K787" s="42" cm="1">
        <f t="array" ref="K787">IF(I787=1,
    J787,
    MAX(IF(H:H=H787, J:J)) - J787
)</f>
        <v>1</v>
      </c>
    </row>
    <row r="788" spans="1:11" x14ac:dyDescent="0.2">
      <c r="A788" s="43" t="s">
        <v>95</v>
      </c>
      <c r="B788" s="44" t="s">
        <v>18</v>
      </c>
      <c r="C788" s="42">
        <f>VLOOKUP(Tabela13[[#This Row],[Origem]],Tabela1[],2,FALSE)</f>
        <v>95</v>
      </c>
      <c r="D788" s="42">
        <f>VLOOKUP(Tabela13[[#This Row],[Destino]],Tabela1[],2,FALSE)</f>
        <v>18</v>
      </c>
      <c r="E788" s="51" t="s">
        <v>674</v>
      </c>
      <c r="F788" s="52" t="s">
        <v>1190</v>
      </c>
      <c r="H788" s="42" t="str">
        <f t="shared" si="24"/>
        <v>Boate Big House_Rua Santos Dumont</v>
      </c>
      <c r="I788" s="42">
        <f t="shared" si="25"/>
        <v>-1</v>
      </c>
      <c r="J788" s="53">
        <f>COUNTIFS(H$2:H788, H788)-1</f>
        <v>8</v>
      </c>
      <c r="K788" s="42" cm="1">
        <f t="array" ref="K788">IF(I788=1,
    J788,
    MAX(IF(H:H=H788, J:J)) - J788
)</f>
        <v>0</v>
      </c>
    </row>
    <row r="789" spans="1:11" hidden="1" x14ac:dyDescent="0.2">
      <c r="A789" s="43" t="s">
        <v>96</v>
      </c>
      <c r="B789" s="44" t="s">
        <v>78</v>
      </c>
      <c r="C789" s="42">
        <f>VLOOKUP(Tabela13[[#This Row],[Origem]],Tabela1[],2,FALSE)</f>
        <v>96</v>
      </c>
      <c r="D789" s="42">
        <f>VLOOKUP(Tabela13[[#This Row],[Destino]],Tabela1[],2,FALSE)</f>
        <v>78</v>
      </c>
      <c r="E789" s="51" t="s">
        <v>188</v>
      </c>
      <c r="F789" s="52" t="s">
        <v>189</v>
      </c>
      <c r="H789" s="42" t="str">
        <f t="shared" si="24"/>
        <v>Rua 24 de Maio_Rua Teresa</v>
      </c>
      <c r="I789" s="42">
        <f t="shared" si="25"/>
        <v>-1</v>
      </c>
      <c r="J789" s="53">
        <f>COUNTIFS(H$2:H789, H789)-1</f>
        <v>1</v>
      </c>
      <c r="K789" s="42" cm="1">
        <f t="array" ref="K789">IF(I789=1,
    J789,
    MAX(IF(H:H=H789, J:J)) - J789
)</f>
        <v>0</v>
      </c>
    </row>
    <row r="790" spans="1:11" x14ac:dyDescent="0.2">
      <c r="A790" s="43" t="s">
        <v>96</v>
      </c>
      <c r="B790" s="44" t="s">
        <v>33</v>
      </c>
      <c r="C790" s="42">
        <f>VLOOKUP(Tabela13[[#This Row],[Origem]],Tabela1[],2,FALSE)</f>
        <v>96</v>
      </c>
      <c r="D790" s="42">
        <f>VLOOKUP(Tabela13[[#This Row],[Destino]],Tabela1[],2,FALSE)</f>
        <v>33</v>
      </c>
      <c r="E790" s="51" t="s">
        <v>675</v>
      </c>
      <c r="F790" s="52" t="s">
        <v>1191</v>
      </c>
      <c r="H790" s="42" t="str">
        <f t="shared" si="24"/>
        <v>Hiper Shopping_Rua Teresa</v>
      </c>
      <c r="I790" s="42">
        <f t="shared" si="25"/>
        <v>-1</v>
      </c>
      <c r="J790" s="53">
        <f>COUNTIFS(H$2:H790, H790)-1</f>
        <v>0</v>
      </c>
      <c r="K790" s="42" cm="1">
        <f t="array" ref="K790">IF(I790=1,
    J790,
    MAX(IF(H:H=H790, J:J)) - J790
)</f>
        <v>5</v>
      </c>
    </row>
    <row r="791" spans="1:11" x14ac:dyDescent="0.2">
      <c r="A791" s="43" t="s">
        <v>96</v>
      </c>
      <c r="B791" s="44" t="s">
        <v>33</v>
      </c>
      <c r="C791" s="42">
        <f>VLOOKUP(Tabela13[[#This Row],[Origem]],Tabela1[],2,FALSE)</f>
        <v>96</v>
      </c>
      <c r="D791" s="42">
        <f>VLOOKUP(Tabela13[[#This Row],[Destino]],Tabela1[],2,FALSE)</f>
        <v>33</v>
      </c>
      <c r="E791" s="51" t="s">
        <v>676</v>
      </c>
      <c r="F791" s="52" t="s">
        <v>1192</v>
      </c>
      <c r="H791" s="42" t="str">
        <f t="shared" si="24"/>
        <v>Hiper Shopping_Rua Teresa</v>
      </c>
      <c r="I791" s="42">
        <f t="shared" si="25"/>
        <v>-1</v>
      </c>
      <c r="J791" s="53">
        <f>COUNTIFS(H$2:H791, H791)-1</f>
        <v>1</v>
      </c>
      <c r="K791" s="42" cm="1">
        <f t="array" ref="K791">IF(I791=1,
    J791,
    MAX(IF(H:H=H791, J:J)) - J791
)</f>
        <v>4</v>
      </c>
    </row>
    <row r="792" spans="1:11" x14ac:dyDescent="0.2">
      <c r="A792" s="43" t="s">
        <v>96</v>
      </c>
      <c r="B792" s="44" t="s">
        <v>33</v>
      </c>
      <c r="C792" s="42">
        <f>VLOOKUP(Tabela13[[#This Row],[Origem]],Tabela1[],2,FALSE)</f>
        <v>96</v>
      </c>
      <c r="D792" s="42">
        <f>VLOOKUP(Tabela13[[#This Row],[Destino]],Tabela1[],2,FALSE)</f>
        <v>33</v>
      </c>
      <c r="E792" s="51" t="s">
        <v>677</v>
      </c>
      <c r="F792" s="52" t="s">
        <v>1193</v>
      </c>
      <c r="H792" s="42" t="str">
        <f t="shared" si="24"/>
        <v>Hiper Shopping_Rua Teresa</v>
      </c>
      <c r="I792" s="42">
        <f t="shared" si="25"/>
        <v>-1</v>
      </c>
      <c r="J792" s="53">
        <f>COUNTIFS(H$2:H792, H792)-1</f>
        <v>2</v>
      </c>
      <c r="K792" s="42" cm="1">
        <f t="array" ref="K792">IF(I792=1,
    J792,
    MAX(IF(H:H=H792, J:J)) - J792
)</f>
        <v>3</v>
      </c>
    </row>
    <row r="793" spans="1:11" x14ac:dyDescent="0.2">
      <c r="A793" s="43" t="s">
        <v>96</v>
      </c>
      <c r="B793" s="44" t="s">
        <v>33</v>
      </c>
      <c r="C793" s="42">
        <f>VLOOKUP(Tabela13[[#This Row],[Origem]],Tabela1[],2,FALSE)</f>
        <v>96</v>
      </c>
      <c r="D793" s="42">
        <f>VLOOKUP(Tabela13[[#This Row],[Destino]],Tabela1[],2,FALSE)</f>
        <v>33</v>
      </c>
      <c r="E793" s="51" t="s">
        <v>678</v>
      </c>
      <c r="F793" s="52" t="s">
        <v>1194</v>
      </c>
      <c r="H793" s="42" t="str">
        <f t="shared" si="24"/>
        <v>Hiper Shopping_Rua Teresa</v>
      </c>
      <c r="I793" s="42">
        <f t="shared" si="25"/>
        <v>-1</v>
      </c>
      <c r="J793" s="53">
        <f>COUNTIFS(H$2:H793, H793)-1</f>
        <v>3</v>
      </c>
      <c r="K793" s="42" cm="1">
        <f t="array" ref="K793">IF(I793=1,
    J793,
    MAX(IF(H:H=H793, J:J)) - J793
)</f>
        <v>2</v>
      </c>
    </row>
    <row r="794" spans="1:11" x14ac:dyDescent="0.2">
      <c r="A794" s="43" t="s">
        <v>96</v>
      </c>
      <c r="B794" s="44" t="s">
        <v>33</v>
      </c>
      <c r="C794" s="42">
        <f>VLOOKUP(Tabela13[[#This Row],[Origem]],Tabela1[],2,FALSE)</f>
        <v>96</v>
      </c>
      <c r="D794" s="42">
        <f>VLOOKUP(Tabela13[[#This Row],[Destino]],Tabela1[],2,FALSE)</f>
        <v>33</v>
      </c>
      <c r="E794" s="51" t="s">
        <v>679</v>
      </c>
      <c r="F794" s="52" t="s">
        <v>1195</v>
      </c>
      <c r="H794" s="42" t="str">
        <f t="shared" si="24"/>
        <v>Hiper Shopping_Rua Teresa</v>
      </c>
      <c r="I794" s="42">
        <f t="shared" si="25"/>
        <v>-1</v>
      </c>
      <c r="J794" s="53">
        <f>COUNTIFS(H$2:H794, H794)-1</f>
        <v>4</v>
      </c>
      <c r="K794" s="42" cm="1">
        <f t="array" ref="K794">IF(I794=1,
    J794,
    MAX(IF(H:H=H794, J:J)) - J794
)</f>
        <v>1</v>
      </c>
    </row>
    <row r="795" spans="1:11" x14ac:dyDescent="0.2">
      <c r="A795" s="43" t="s">
        <v>96</v>
      </c>
      <c r="B795" s="44" t="s">
        <v>33</v>
      </c>
      <c r="C795" s="42">
        <f>VLOOKUP(Tabela13[[#This Row],[Origem]],Tabela1[],2,FALSE)</f>
        <v>96</v>
      </c>
      <c r="D795" s="42">
        <f>VLOOKUP(Tabela13[[#This Row],[Destino]],Tabela1[],2,FALSE)</f>
        <v>33</v>
      </c>
      <c r="E795" s="51" t="s">
        <v>680</v>
      </c>
      <c r="F795" s="52" t="s">
        <v>1196</v>
      </c>
      <c r="H795" s="42" t="str">
        <f t="shared" si="24"/>
        <v>Hiper Shopping_Rua Teresa</v>
      </c>
      <c r="I795" s="42">
        <f t="shared" si="25"/>
        <v>-1</v>
      </c>
      <c r="J795" s="53">
        <f>COUNTIFS(H$2:H795, H795)-1</f>
        <v>5</v>
      </c>
      <c r="K795" s="42" cm="1">
        <f t="array" ref="K795">IF(I795=1,
    J795,
    MAX(IF(H:H=H795, J:J)) - J795
)</f>
        <v>0</v>
      </c>
    </row>
    <row r="796" spans="1:11" hidden="1" x14ac:dyDescent="0.2">
      <c r="A796" s="43" t="s">
        <v>97</v>
      </c>
      <c r="B796" s="44" t="s">
        <v>96</v>
      </c>
      <c r="C796" s="42">
        <f>VLOOKUP(Tabela13[[#This Row],[Origem]],Tabela1[],2,FALSE)</f>
        <v>97</v>
      </c>
      <c r="D796" s="42">
        <f>VLOOKUP(Tabela13[[#This Row],[Destino]],Tabela1[],2,FALSE)</f>
        <v>96</v>
      </c>
      <c r="E796" s="51" t="s">
        <v>188</v>
      </c>
      <c r="F796" s="52" t="s">
        <v>189</v>
      </c>
      <c r="H796" s="42" t="str">
        <f t="shared" si="24"/>
        <v>Rua Teresa_Rua Visconde do Bom Retiro</v>
      </c>
      <c r="I796" s="42">
        <f t="shared" si="25"/>
        <v>-1</v>
      </c>
      <c r="J796" s="53">
        <f>COUNTIFS(H$2:H796, H796)-1</f>
        <v>0</v>
      </c>
      <c r="K796" s="42" cm="1">
        <f t="array" ref="K796">IF(I796=1,
    J796,
    MAX(IF(H:H=H796, J:J)) - J796
)</f>
        <v>0</v>
      </c>
    </row>
    <row r="797" spans="1:11" x14ac:dyDescent="0.2">
      <c r="A797" s="43" t="s">
        <v>98</v>
      </c>
      <c r="B797" s="44" t="s">
        <v>78</v>
      </c>
      <c r="C797" s="42">
        <f>VLOOKUP(Tabela13[[#This Row],[Origem]],Tabela1[],2,FALSE)</f>
        <v>98</v>
      </c>
      <c r="D797" s="42">
        <f>VLOOKUP(Tabela13[[#This Row],[Destino]],Tabela1[],2,FALSE)</f>
        <v>78</v>
      </c>
      <c r="E797" s="51" t="s">
        <v>618</v>
      </c>
      <c r="F797" s="52" t="s">
        <v>1132</v>
      </c>
      <c r="H797" s="42" t="str">
        <f t="shared" si="24"/>
        <v>Rua 24 de Maio_Shopping Pátio Petrópolis</v>
      </c>
      <c r="I797" s="42">
        <f t="shared" si="25"/>
        <v>-1</v>
      </c>
      <c r="J797" s="53">
        <f>COUNTIFS(H$2:H797, H797)-1</f>
        <v>2</v>
      </c>
      <c r="K797" s="42" cm="1">
        <f t="array" ref="K797">IF(I797=1,
    J797,
    MAX(IF(H:H=H797, J:J)) - J797
)</f>
        <v>1</v>
      </c>
    </row>
    <row r="798" spans="1:11" x14ac:dyDescent="0.2">
      <c r="A798" s="43" t="s">
        <v>98</v>
      </c>
      <c r="B798" s="44" t="s">
        <v>78</v>
      </c>
      <c r="C798" s="42">
        <f>VLOOKUP(Tabela13[[#This Row],[Origem]],Tabela1[],2,FALSE)</f>
        <v>98</v>
      </c>
      <c r="D798" s="42">
        <f>VLOOKUP(Tabela13[[#This Row],[Destino]],Tabela1[],2,FALSE)</f>
        <v>78</v>
      </c>
      <c r="E798" s="51" t="s">
        <v>619</v>
      </c>
      <c r="F798" s="52" t="s">
        <v>1133</v>
      </c>
      <c r="H798" s="42" t="str">
        <f t="shared" si="24"/>
        <v>Rua 24 de Maio_Shopping Pátio Petrópolis</v>
      </c>
      <c r="I798" s="42">
        <f t="shared" si="25"/>
        <v>-1</v>
      </c>
      <c r="J798" s="53">
        <f>COUNTIFS(H$2:H798, H798)-1</f>
        <v>3</v>
      </c>
      <c r="K798" s="42" cm="1">
        <f t="array" ref="K798">IF(I798=1,
    J798,
    MAX(IF(H:H=H798, J:J)) - J798
)</f>
        <v>0</v>
      </c>
    </row>
    <row r="799" spans="1:11" hidden="1" x14ac:dyDescent="0.2">
      <c r="A799" s="43" t="s">
        <v>98</v>
      </c>
      <c r="B799" s="44" t="s">
        <v>89</v>
      </c>
      <c r="C799" s="42">
        <f>VLOOKUP(Tabela13[[#This Row],[Origem]],Tabela1[],2,FALSE)</f>
        <v>98</v>
      </c>
      <c r="D799" s="42">
        <f>VLOOKUP(Tabela13[[#This Row],[Destino]],Tabela1[],2,FALSE)</f>
        <v>89</v>
      </c>
      <c r="E799" s="51" t="s">
        <v>188</v>
      </c>
      <c r="F799" s="52" t="s">
        <v>189</v>
      </c>
      <c r="H799" s="42" t="str">
        <f t="shared" si="24"/>
        <v>Rua Marechal Deodoro_Shopping Pátio Petrópolis</v>
      </c>
      <c r="I799" s="42">
        <f t="shared" si="25"/>
        <v>-1</v>
      </c>
      <c r="J799" s="53">
        <f>COUNTIFS(H$2:H799, H799)-1</f>
        <v>0</v>
      </c>
      <c r="K799" s="42" cm="1">
        <f t="array" ref="K799">IF(I799=1,
    J799,
    MAX(IF(H:H=H799, J:J)) - J799
)</f>
        <v>0</v>
      </c>
    </row>
    <row r="800" spans="1:11" x14ac:dyDescent="0.2">
      <c r="A800" s="43" t="s">
        <v>99</v>
      </c>
      <c r="B800" s="44" t="s">
        <v>39</v>
      </c>
      <c r="C800" s="42">
        <f>VLOOKUP(Tabela13[[#This Row],[Origem]],Tabela1[],2,FALSE)</f>
        <v>99</v>
      </c>
      <c r="D800" s="42">
        <f>VLOOKUP(Tabela13[[#This Row],[Destino]],Tabela1[],2,FALSE)</f>
        <v>39</v>
      </c>
      <c r="E800" s="51" t="s">
        <v>439</v>
      </c>
      <c r="F800" s="52" t="s">
        <v>952</v>
      </c>
      <c r="H800" s="42" t="str">
        <f t="shared" si="24"/>
        <v>Igreja do Sagrado_Tabacaria Be Happy</v>
      </c>
      <c r="I800" s="42">
        <f t="shared" si="25"/>
        <v>-1</v>
      </c>
      <c r="J800" s="53">
        <f>COUNTIFS(H$2:H800, H800)-1</f>
        <v>2</v>
      </c>
      <c r="K800" s="42" cm="1">
        <f t="array" ref="K800">IF(I800=1,
    J800,
    MAX(IF(H:H=H800, J:J)) - J800
)</f>
        <v>1</v>
      </c>
    </row>
    <row r="801" spans="1:11" x14ac:dyDescent="0.2">
      <c r="A801" s="43" t="s">
        <v>99</v>
      </c>
      <c r="B801" s="44" t="s">
        <v>39</v>
      </c>
      <c r="C801" s="42">
        <f>VLOOKUP(Tabela13[[#This Row],[Origem]],Tabela1[],2,FALSE)</f>
        <v>99</v>
      </c>
      <c r="D801" s="42">
        <f>VLOOKUP(Tabela13[[#This Row],[Destino]],Tabela1[],2,FALSE)</f>
        <v>39</v>
      </c>
      <c r="E801" s="51" t="s">
        <v>440</v>
      </c>
      <c r="F801" s="52" t="s">
        <v>953</v>
      </c>
      <c r="H801" s="42" t="str">
        <f t="shared" si="24"/>
        <v>Igreja do Sagrado_Tabacaria Be Happy</v>
      </c>
      <c r="I801" s="42">
        <f t="shared" si="25"/>
        <v>-1</v>
      </c>
      <c r="J801" s="53">
        <f>COUNTIFS(H$2:H801, H801)-1</f>
        <v>3</v>
      </c>
      <c r="K801" s="42" cm="1">
        <f t="array" ref="K801">IF(I801=1,
    J801,
    MAX(IF(H:H=H801, J:J)) - J801
)</f>
        <v>0</v>
      </c>
    </row>
    <row r="802" spans="1:11" x14ac:dyDescent="0.2">
      <c r="A802" s="43" t="s">
        <v>99</v>
      </c>
      <c r="B802" s="44" t="s">
        <v>61</v>
      </c>
      <c r="C802" s="42">
        <f>VLOOKUP(Tabela13[[#This Row],[Origem]],Tabela1[],2,FALSE)</f>
        <v>99</v>
      </c>
      <c r="D802" s="42">
        <f>VLOOKUP(Tabela13[[#This Row],[Destino]],Tabela1[],2,FALSE)</f>
        <v>61</v>
      </c>
      <c r="E802" s="51" t="s">
        <v>681</v>
      </c>
      <c r="F802" s="52" t="s">
        <v>1197</v>
      </c>
      <c r="H802" s="42" t="str">
        <f t="shared" si="24"/>
        <v>Praça 14 Bis_Tabacaria Be Happy</v>
      </c>
      <c r="I802" s="42">
        <f t="shared" si="25"/>
        <v>-1</v>
      </c>
      <c r="J802" s="53">
        <f>COUNTIFS(H$2:H802, H802)-1</f>
        <v>0</v>
      </c>
      <c r="K802" s="42" cm="1">
        <f t="array" ref="K802">IF(I802=1,
    J802,
    MAX(IF(H:H=H802, J:J)) - J802
)</f>
        <v>0</v>
      </c>
    </row>
    <row r="803" spans="1:11" hidden="1" x14ac:dyDescent="0.2">
      <c r="A803" s="43" t="s">
        <v>100</v>
      </c>
      <c r="B803" s="44" t="s">
        <v>90</v>
      </c>
      <c r="C803" s="42">
        <f>VLOOKUP(Tabela13[[#This Row],[Origem]],Tabela1[],2,FALSE)</f>
        <v>100</v>
      </c>
      <c r="D803" s="42">
        <f>VLOOKUP(Tabela13[[#This Row],[Destino]],Tabela1[],2,FALSE)</f>
        <v>90</v>
      </c>
      <c r="E803" s="51" t="s">
        <v>188</v>
      </c>
      <c r="F803" s="52" t="s">
        <v>189</v>
      </c>
      <c r="H803" s="42" t="str">
        <f t="shared" si="24"/>
        <v>Rua Nilo Peçanha_Teatro Dom Pedro</v>
      </c>
      <c r="I803" s="42">
        <f t="shared" si="25"/>
        <v>-1</v>
      </c>
      <c r="J803" s="53">
        <f>COUNTIFS(H$2:H803, H803)-1</f>
        <v>1</v>
      </c>
      <c r="K803" s="42" cm="1">
        <f t="array" ref="K803">IF(I803=1,
    J803,
    MAX(IF(H:H=H803, J:J)) - J803
)</f>
        <v>0</v>
      </c>
    </row>
    <row r="804" spans="1:11" x14ac:dyDescent="0.2">
      <c r="A804" s="43" t="s">
        <v>100</v>
      </c>
      <c r="B804" s="44" t="s">
        <v>41</v>
      </c>
      <c r="C804" s="42">
        <f>VLOOKUP(Tabela13[[#This Row],[Origem]],Tabela1[],2,FALSE)</f>
        <v>100</v>
      </c>
      <c r="D804" s="42">
        <f>VLOOKUP(Tabela13[[#This Row],[Destino]],Tabela1[],2,FALSE)</f>
        <v>41</v>
      </c>
      <c r="E804" s="51" t="s">
        <v>446</v>
      </c>
      <c r="F804" s="52" t="s">
        <v>959</v>
      </c>
      <c r="H804" s="42" t="str">
        <f t="shared" si="24"/>
        <v>INSS_Teatro Dom Pedro</v>
      </c>
      <c r="I804" s="42">
        <f t="shared" si="25"/>
        <v>-1</v>
      </c>
      <c r="J804" s="53">
        <f>COUNTIFS(H$2:H804, H804)-1</f>
        <v>1</v>
      </c>
      <c r="K804" s="42" cm="1">
        <f t="array" ref="K804">IF(I804=1,
    J804,
    MAX(IF(H:H=H804, J:J)) - J804
)</f>
        <v>0</v>
      </c>
    </row>
    <row r="805" spans="1:11" hidden="1" x14ac:dyDescent="0.2">
      <c r="A805" s="43" t="s">
        <v>100</v>
      </c>
      <c r="B805" s="44" t="s">
        <v>51</v>
      </c>
      <c r="C805" s="42">
        <f>VLOOKUP(Tabela13[[#This Row],[Origem]],Tabela1[],2,FALSE)</f>
        <v>100</v>
      </c>
      <c r="D805" s="42">
        <f>VLOOKUP(Tabela13[[#This Row],[Destino]],Tabela1[],2,FALSE)</f>
        <v>51</v>
      </c>
      <c r="E805" s="51" t="s">
        <v>188</v>
      </c>
      <c r="F805" s="52" t="s">
        <v>189</v>
      </c>
      <c r="H805" s="42" t="str">
        <f t="shared" si="24"/>
        <v>Museu Imperial_Teatro Dom Pedro</v>
      </c>
      <c r="I805" s="42">
        <f t="shared" si="25"/>
        <v>-1</v>
      </c>
      <c r="J805" s="53">
        <f>COUNTIFS(H$2:H805, H805)-1</f>
        <v>0</v>
      </c>
      <c r="K805" s="42" cm="1">
        <f t="array" ref="K805">IF(I805=1,
    J805,
    MAX(IF(H:H=H805, J:J)) - J805
)</f>
        <v>0</v>
      </c>
    </row>
    <row r="806" spans="1:11" hidden="1" x14ac:dyDescent="0.2">
      <c r="A806" s="43" t="s">
        <v>101</v>
      </c>
      <c r="B806" s="44" t="s">
        <v>44</v>
      </c>
      <c r="C806" s="42">
        <f>VLOOKUP(Tabela13[[#This Row],[Origem]],Tabela1[],2,FALSE)</f>
        <v>101</v>
      </c>
      <c r="D806" s="42">
        <f>VLOOKUP(Tabela13[[#This Row],[Destino]],Tabela1[],2,FALSE)</f>
        <v>44</v>
      </c>
      <c r="E806" s="51" t="s">
        <v>188</v>
      </c>
      <c r="F806" s="52" t="s">
        <v>189</v>
      </c>
      <c r="H806" s="42" t="str">
        <f t="shared" si="24"/>
        <v>Loja Aladim_Tribuna de Petrópolis</v>
      </c>
      <c r="I806" s="42">
        <f t="shared" si="25"/>
        <v>-1</v>
      </c>
      <c r="J806" s="53">
        <f>COUNTIFS(H$2:H806, H806)-1</f>
        <v>0</v>
      </c>
      <c r="K806" s="42" cm="1">
        <f t="array" ref="K806">IF(I806=1,
    J806,
    MAX(IF(H:H=H806, J:J)) - J806
)</f>
        <v>0</v>
      </c>
    </row>
    <row r="807" spans="1:11" hidden="1" x14ac:dyDescent="0.2">
      <c r="A807" s="43" t="s">
        <v>102</v>
      </c>
      <c r="B807" s="44" t="s">
        <v>34</v>
      </c>
      <c r="C807" s="42">
        <f>VLOOKUP(Tabela13[[#This Row],[Origem]],Tabela1[],2,FALSE)</f>
        <v>102</v>
      </c>
      <c r="D807" s="42">
        <f>VLOOKUP(Tabela13[[#This Row],[Destino]],Tabela1[],2,FALSE)</f>
        <v>34</v>
      </c>
      <c r="E807" s="51" t="s">
        <v>188</v>
      </c>
      <c r="F807" s="52" t="s">
        <v>189</v>
      </c>
      <c r="H807" s="42" t="str">
        <f t="shared" si="24"/>
        <v>Hospital Santa Teresa_Universidade Estácio</v>
      </c>
      <c r="I807" s="42">
        <f t="shared" si="25"/>
        <v>-1</v>
      </c>
      <c r="J807" s="53">
        <f>COUNTIFS(H$2:H807, H807)-1</f>
        <v>1</v>
      </c>
      <c r="K807" s="42" cm="1">
        <f t="array" ref="K807">IF(I807=1,
    J807,
    MAX(IF(H:H=H807, J:J)) - J807
)</f>
        <v>0</v>
      </c>
    </row>
    <row r="808" spans="1:11" x14ac:dyDescent="0.2">
      <c r="A808" s="43" t="s">
        <v>102</v>
      </c>
      <c r="B808" s="44" t="s">
        <v>58</v>
      </c>
      <c r="C808" s="42">
        <f>VLOOKUP(Tabela13[[#This Row],[Origem]],Tabela1[],2,FALSE)</f>
        <v>102</v>
      </c>
      <c r="D808" s="42">
        <f>VLOOKUP(Tabela13[[#This Row],[Destino]],Tabela1[],2,FALSE)</f>
        <v>58</v>
      </c>
      <c r="E808" s="51" t="s">
        <v>682</v>
      </c>
      <c r="F808" s="52" t="s">
        <v>1198</v>
      </c>
      <c r="H808" s="42" t="str">
        <f t="shared" si="24"/>
        <v>Ponte Bingen_Universidade Estácio</v>
      </c>
      <c r="I808" s="42">
        <f t="shared" si="25"/>
        <v>-1</v>
      </c>
      <c r="J808" s="53">
        <f>COUNTIFS(H$2:H808, H808)-1</f>
        <v>0</v>
      </c>
      <c r="K808" s="42" cm="1">
        <f t="array" ref="K808">IF(I808=1,
    J808,
    MAX(IF(H:H=H808, J:J)) - J808
)</f>
        <v>4</v>
      </c>
    </row>
    <row r="809" spans="1:11" x14ac:dyDescent="0.2">
      <c r="A809" s="43" t="s">
        <v>102</v>
      </c>
      <c r="B809" s="44" t="s">
        <v>58</v>
      </c>
      <c r="C809" s="42">
        <f>VLOOKUP(Tabela13[[#This Row],[Origem]],Tabela1[],2,FALSE)</f>
        <v>102</v>
      </c>
      <c r="D809" s="42">
        <f>VLOOKUP(Tabela13[[#This Row],[Destino]],Tabela1[],2,FALSE)</f>
        <v>58</v>
      </c>
      <c r="E809" s="51" t="s">
        <v>683</v>
      </c>
      <c r="F809" s="52" t="s">
        <v>1199</v>
      </c>
      <c r="H809" s="42" t="str">
        <f t="shared" si="24"/>
        <v>Ponte Bingen_Universidade Estácio</v>
      </c>
      <c r="I809" s="42">
        <f t="shared" si="25"/>
        <v>-1</v>
      </c>
      <c r="J809" s="53">
        <f>COUNTIFS(H$2:H809, H809)-1</f>
        <v>1</v>
      </c>
      <c r="K809" s="42" cm="1">
        <f t="array" ref="K809">IF(I809=1,
    J809,
    MAX(IF(H:H=H809, J:J)) - J809
)</f>
        <v>3</v>
      </c>
    </row>
    <row r="810" spans="1:11" x14ac:dyDescent="0.2">
      <c r="A810" s="43" t="s">
        <v>102</v>
      </c>
      <c r="B810" s="44" t="s">
        <v>58</v>
      </c>
      <c r="C810" s="42">
        <f>VLOOKUP(Tabela13[[#This Row],[Origem]],Tabela1[],2,FALSE)</f>
        <v>102</v>
      </c>
      <c r="D810" s="42">
        <f>VLOOKUP(Tabela13[[#This Row],[Destino]],Tabela1[],2,FALSE)</f>
        <v>58</v>
      </c>
      <c r="E810" s="51" t="s">
        <v>684</v>
      </c>
      <c r="F810" s="52" t="s">
        <v>1200</v>
      </c>
      <c r="H810" s="42" t="str">
        <f t="shared" si="24"/>
        <v>Ponte Bingen_Universidade Estácio</v>
      </c>
      <c r="I810" s="42">
        <f t="shared" si="25"/>
        <v>-1</v>
      </c>
      <c r="J810" s="53">
        <f>COUNTIFS(H$2:H810, H810)-1</f>
        <v>2</v>
      </c>
      <c r="K810" s="42" cm="1">
        <f t="array" ref="K810">IF(I810=1,
    J810,
    MAX(IF(H:H=H810, J:J)) - J810
)</f>
        <v>2</v>
      </c>
    </row>
    <row r="811" spans="1:11" x14ac:dyDescent="0.2">
      <c r="A811" s="43" t="s">
        <v>102</v>
      </c>
      <c r="B811" s="44" t="s">
        <v>58</v>
      </c>
      <c r="C811" s="42">
        <f>VLOOKUP(Tabela13[[#This Row],[Origem]],Tabela1[],2,FALSE)</f>
        <v>102</v>
      </c>
      <c r="D811" s="42">
        <f>VLOOKUP(Tabela13[[#This Row],[Destino]],Tabela1[],2,FALSE)</f>
        <v>58</v>
      </c>
      <c r="E811" s="51" t="s">
        <v>685</v>
      </c>
      <c r="F811" s="52" t="s">
        <v>1201</v>
      </c>
      <c r="H811" s="42" t="str">
        <f t="shared" si="24"/>
        <v>Ponte Bingen_Universidade Estácio</v>
      </c>
      <c r="I811" s="42">
        <f t="shared" si="25"/>
        <v>-1</v>
      </c>
      <c r="J811" s="53">
        <f>COUNTIFS(H$2:H811, H811)-1</f>
        <v>3</v>
      </c>
      <c r="K811" s="42" cm="1">
        <f t="array" ref="K811">IF(I811=1,
    J811,
    MAX(IF(H:H=H811, J:J)) - J811
)</f>
        <v>1</v>
      </c>
    </row>
    <row r="812" spans="1:11" x14ac:dyDescent="0.2">
      <c r="A812" s="43" t="s">
        <v>102</v>
      </c>
      <c r="B812" s="44" t="s">
        <v>58</v>
      </c>
      <c r="C812" s="42">
        <f>VLOOKUP(Tabela13[[#This Row],[Origem]],Tabela1[],2,FALSE)</f>
        <v>102</v>
      </c>
      <c r="D812" s="42">
        <f>VLOOKUP(Tabela13[[#This Row],[Destino]],Tabela1[],2,FALSE)</f>
        <v>58</v>
      </c>
      <c r="E812" s="51" t="s">
        <v>686</v>
      </c>
      <c r="F812" s="52" t="s">
        <v>1027</v>
      </c>
      <c r="H812" s="42" t="str">
        <f t="shared" si="24"/>
        <v>Ponte Bingen_Universidade Estácio</v>
      </c>
      <c r="I812" s="42">
        <f t="shared" si="25"/>
        <v>-1</v>
      </c>
      <c r="J812" s="53">
        <f>COUNTIFS(H$2:H812, H812)-1</f>
        <v>4</v>
      </c>
      <c r="K812" s="42" cm="1">
        <f t="array" ref="K812">IF(I812=1,
    J812,
    MAX(IF(H:H=H812, J:J)) - J812
)</f>
        <v>0</v>
      </c>
    </row>
    <row r="813" spans="1:11" x14ac:dyDescent="0.2">
      <c r="A813" s="43" t="s">
        <v>103</v>
      </c>
      <c r="B813" s="44" t="s">
        <v>31</v>
      </c>
      <c r="C813" s="42">
        <f>VLOOKUP(Tabela13[[#This Row],[Origem]],Tabela1[],2,FALSE)</f>
        <v>103</v>
      </c>
      <c r="D813" s="42">
        <f>VLOOKUP(Tabela13[[#This Row],[Destino]],Tabela1[],2,FALSE)</f>
        <v>31</v>
      </c>
      <c r="E813" s="51" t="s">
        <v>403</v>
      </c>
      <c r="F813" s="52" t="s">
        <v>916</v>
      </c>
      <c r="H813" s="42" t="str">
        <f t="shared" si="24"/>
        <v>Duas Pontes_UPA Centro</v>
      </c>
      <c r="I813" s="42">
        <f t="shared" si="25"/>
        <v>-1</v>
      </c>
      <c r="J813" s="53">
        <f>COUNTIFS(H$2:H813, H813)-1</f>
        <v>5</v>
      </c>
      <c r="K813" s="42" cm="1">
        <f t="array" ref="K813">IF(I813=1,
    J813,
    MAX(IF(H:H=H813, J:J)) - J813
)</f>
        <v>4</v>
      </c>
    </row>
    <row r="814" spans="1:11" x14ac:dyDescent="0.2">
      <c r="A814" s="43" t="s">
        <v>103</v>
      </c>
      <c r="B814" s="44" t="s">
        <v>31</v>
      </c>
      <c r="C814" s="42">
        <f>VLOOKUP(Tabela13[[#This Row],[Origem]],Tabela1[],2,FALSE)</f>
        <v>103</v>
      </c>
      <c r="D814" s="42">
        <f>VLOOKUP(Tabela13[[#This Row],[Destino]],Tabela1[],2,FALSE)</f>
        <v>31</v>
      </c>
      <c r="E814" s="51" t="s">
        <v>404</v>
      </c>
      <c r="F814" s="52" t="s">
        <v>917</v>
      </c>
      <c r="H814" s="42" t="str">
        <f t="shared" si="24"/>
        <v>Duas Pontes_UPA Centro</v>
      </c>
      <c r="I814" s="42">
        <f t="shared" si="25"/>
        <v>-1</v>
      </c>
      <c r="J814" s="53">
        <f>COUNTIFS(H$2:H814, H814)-1</f>
        <v>6</v>
      </c>
      <c r="K814" s="42" cm="1">
        <f t="array" ref="K814">IF(I814=1,
    J814,
    MAX(IF(H:H=H814, J:J)) - J814
)</f>
        <v>3</v>
      </c>
    </row>
    <row r="815" spans="1:11" x14ac:dyDescent="0.2">
      <c r="A815" s="43" t="s">
        <v>103</v>
      </c>
      <c r="B815" s="44" t="s">
        <v>31</v>
      </c>
      <c r="C815" s="42">
        <f>VLOOKUP(Tabela13[[#This Row],[Origem]],Tabela1[],2,FALSE)</f>
        <v>103</v>
      </c>
      <c r="D815" s="42">
        <f>VLOOKUP(Tabela13[[#This Row],[Destino]],Tabela1[],2,FALSE)</f>
        <v>31</v>
      </c>
      <c r="E815" s="51" t="s">
        <v>405</v>
      </c>
      <c r="F815" s="52" t="s">
        <v>918</v>
      </c>
      <c r="H815" s="42" t="str">
        <f t="shared" si="24"/>
        <v>Duas Pontes_UPA Centro</v>
      </c>
      <c r="I815" s="42">
        <f t="shared" si="25"/>
        <v>-1</v>
      </c>
      <c r="J815" s="53">
        <f>COUNTIFS(H$2:H815, H815)-1</f>
        <v>7</v>
      </c>
      <c r="K815" s="42" cm="1">
        <f t="array" ref="K815">IF(I815=1,
    J815,
    MAX(IF(H:H=H815, J:J)) - J815
)</f>
        <v>2</v>
      </c>
    </row>
    <row r="816" spans="1:11" x14ac:dyDescent="0.2">
      <c r="A816" s="43" t="s">
        <v>103</v>
      </c>
      <c r="B816" s="44" t="s">
        <v>31</v>
      </c>
      <c r="C816" s="42">
        <f>VLOOKUP(Tabela13[[#This Row],[Origem]],Tabela1[],2,FALSE)</f>
        <v>103</v>
      </c>
      <c r="D816" s="42">
        <f>VLOOKUP(Tabela13[[#This Row],[Destino]],Tabela1[],2,FALSE)</f>
        <v>31</v>
      </c>
      <c r="E816" s="51" t="s">
        <v>406</v>
      </c>
      <c r="F816" s="52" t="s">
        <v>919</v>
      </c>
      <c r="H816" s="42" t="str">
        <f t="shared" si="24"/>
        <v>Duas Pontes_UPA Centro</v>
      </c>
      <c r="I816" s="42">
        <f t="shared" si="25"/>
        <v>-1</v>
      </c>
      <c r="J816" s="53">
        <f>COUNTIFS(H$2:H816, H816)-1</f>
        <v>8</v>
      </c>
      <c r="K816" s="42" cm="1">
        <f t="array" ref="K816">IF(I816=1,
    J816,
    MAX(IF(H:H=H816, J:J)) - J816
)</f>
        <v>1</v>
      </c>
    </row>
    <row r="817" spans="1:11" x14ac:dyDescent="0.2">
      <c r="A817" s="43" t="s">
        <v>103</v>
      </c>
      <c r="B817" s="44" t="s">
        <v>31</v>
      </c>
      <c r="C817" s="42">
        <f>VLOOKUP(Tabela13[[#This Row],[Origem]],Tabela1[],2,FALSE)</f>
        <v>103</v>
      </c>
      <c r="D817" s="42">
        <f>VLOOKUP(Tabela13[[#This Row],[Destino]],Tabela1[],2,FALSE)</f>
        <v>31</v>
      </c>
      <c r="E817" s="51" t="s">
        <v>407</v>
      </c>
      <c r="F817" s="52" t="s">
        <v>920</v>
      </c>
      <c r="H817" s="42" t="str">
        <f t="shared" si="24"/>
        <v>Duas Pontes_UPA Centro</v>
      </c>
      <c r="I817" s="42">
        <f t="shared" si="25"/>
        <v>-1</v>
      </c>
      <c r="J817" s="53">
        <f>COUNTIFS(H$2:H817, H817)-1</f>
        <v>9</v>
      </c>
      <c r="K817" s="42" cm="1">
        <f t="array" ref="K817">IF(I817=1,
    J817,
    MAX(IF(H:H=H817, J:J)) - J817
)</f>
        <v>0</v>
      </c>
    </row>
    <row r="818" spans="1:11" x14ac:dyDescent="0.2">
      <c r="A818" s="43" t="s">
        <v>103</v>
      </c>
      <c r="B818" s="44" t="s">
        <v>53</v>
      </c>
      <c r="C818" s="42">
        <f>VLOOKUP(Tabela13[[#This Row],[Origem]],Tabela1[],2,FALSE)</f>
        <v>103</v>
      </c>
      <c r="D818" s="42">
        <f>VLOOKUP(Tabela13[[#This Row],[Destino]],Tabela1[],2,FALSE)</f>
        <v>53</v>
      </c>
      <c r="E818" s="51" t="s">
        <v>687</v>
      </c>
      <c r="F818" s="52" t="s">
        <v>1202</v>
      </c>
      <c r="H818" s="42" t="str">
        <f t="shared" si="24"/>
        <v>Padaria Sul América_UPA Centro</v>
      </c>
      <c r="I818" s="42">
        <f t="shared" si="25"/>
        <v>-1</v>
      </c>
      <c r="J818" s="53">
        <f>COUNTIFS(H$2:H818, H818)-1</f>
        <v>0</v>
      </c>
      <c r="K818" s="42" cm="1">
        <f t="array" ref="K818">IF(I818=1,
    J818,
    MAX(IF(H:H=H818, J:J)) - J818
)</f>
        <v>5</v>
      </c>
    </row>
    <row r="819" spans="1:11" x14ac:dyDescent="0.2">
      <c r="A819" s="43" t="s">
        <v>103</v>
      </c>
      <c r="B819" s="44" t="s">
        <v>53</v>
      </c>
      <c r="C819" s="42">
        <f>VLOOKUP(Tabela13[[#This Row],[Origem]],Tabela1[],2,FALSE)</f>
        <v>103</v>
      </c>
      <c r="D819" s="42">
        <f>VLOOKUP(Tabela13[[#This Row],[Destino]],Tabela1[],2,FALSE)</f>
        <v>53</v>
      </c>
      <c r="E819" s="51" t="s">
        <v>688</v>
      </c>
      <c r="F819" s="52" t="s">
        <v>1203</v>
      </c>
      <c r="H819" s="42" t="str">
        <f t="shared" si="24"/>
        <v>Padaria Sul América_UPA Centro</v>
      </c>
      <c r="I819" s="42">
        <f t="shared" si="25"/>
        <v>-1</v>
      </c>
      <c r="J819" s="53">
        <f>COUNTIFS(H$2:H819, H819)-1</f>
        <v>1</v>
      </c>
      <c r="K819" s="42" cm="1">
        <f t="array" ref="K819">IF(I819=1,
    J819,
    MAX(IF(H:H=H819, J:J)) - J819
)</f>
        <v>4</v>
      </c>
    </row>
    <row r="820" spans="1:11" x14ac:dyDescent="0.2">
      <c r="A820" s="43" t="s">
        <v>103</v>
      </c>
      <c r="B820" s="44" t="s">
        <v>53</v>
      </c>
      <c r="C820" s="42">
        <f>VLOOKUP(Tabela13[[#This Row],[Origem]],Tabela1[],2,FALSE)</f>
        <v>103</v>
      </c>
      <c r="D820" s="42">
        <f>VLOOKUP(Tabela13[[#This Row],[Destino]],Tabela1[],2,FALSE)</f>
        <v>53</v>
      </c>
      <c r="E820" s="51" t="s">
        <v>689</v>
      </c>
      <c r="F820" s="52" t="s">
        <v>1204</v>
      </c>
      <c r="H820" s="42" t="str">
        <f t="shared" si="24"/>
        <v>Padaria Sul América_UPA Centro</v>
      </c>
      <c r="I820" s="42">
        <f t="shared" si="25"/>
        <v>-1</v>
      </c>
      <c r="J820" s="53">
        <f>COUNTIFS(H$2:H820, H820)-1</f>
        <v>2</v>
      </c>
      <c r="K820" s="42" cm="1">
        <f t="array" ref="K820">IF(I820=1,
    J820,
    MAX(IF(H:H=H820, J:J)) - J820
)</f>
        <v>3</v>
      </c>
    </row>
    <row r="821" spans="1:11" x14ac:dyDescent="0.2">
      <c r="A821" s="43" t="s">
        <v>103</v>
      </c>
      <c r="B821" s="44" t="s">
        <v>53</v>
      </c>
      <c r="C821" s="42">
        <f>VLOOKUP(Tabela13[[#This Row],[Origem]],Tabela1[],2,FALSE)</f>
        <v>103</v>
      </c>
      <c r="D821" s="42">
        <f>VLOOKUP(Tabela13[[#This Row],[Destino]],Tabela1[],2,FALSE)</f>
        <v>53</v>
      </c>
      <c r="E821" s="51" t="s">
        <v>690</v>
      </c>
      <c r="F821" s="52" t="s">
        <v>1205</v>
      </c>
      <c r="H821" s="42" t="str">
        <f t="shared" si="24"/>
        <v>Padaria Sul América_UPA Centro</v>
      </c>
      <c r="I821" s="42">
        <f t="shared" si="25"/>
        <v>-1</v>
      </c>
      <c r="J821" s="53">
        <f>COUNTIFS(H$2:H821, H821)-1</f>
        <v>3</v>
      </c>
      <c r="K821" s="42" cm="1">
        <f t="array" ref="K821">IF(I821=1,
    J821,
    MAX(IF(H:H=H821, J:J)) - J821
)</f>
        <v>2</v>
      </c>
    </row>
    <row r="822" spans="1:11" x14ac:dyDescent="0.2">
      <c r="A822" s="43" t="s">
        <v>103</v>
      </c>
      <c r="B822" s="44" t="s">
        <v>53</v>
      </c>
      <c r="C822" s="42">
        <f>VLOOKUP(Tabela13[[#This Row],[Origem]],Tabela1[],2,FALSE)</f>
        <v>103</v>
      </c>
      <c r="D822" s="42">
        <f>VLOOKUP(Tabela13[[#This Row],[Destino]],Tabela1[],2,FALSE)</f>
        <v>53</v>
      </c>
      <c r="E822" s="51" t="s">
        <v>691</v>
      </c>
      <c r="F822" s="52" t="s">
        <v>1206</v>
      </c>
      <c r="H822" s="42" t="str">
        <f t="shared" si="24"/>
        <v>Padaria Sul América_UPA Centro</v>
      </c>
      <c r="I822" s="42">
        <f t="shared" si="25"/>
        <v>-1</v>
      </c>
      <c r="J822" s="53">
        <f>COUNTIFS(H$2:H822, H822)-1</f>
        <v>4</v>
      </c>
      <c r="K822" s="42" cm="1">
        <f t="array" ref="K822">IF(I822=1,
    J822,
    MAX(IF(H:H=H822, J:J)) - J822
)</f>
        <v>1</v>
      </c>
    </row>
    <row r="823" spans="1:11" x14ac:dyDescent="0.2">
      <c r="A823" s="43" t="s">
        <v>103</v>
      </c>
      <c r="B823" s="44" t="s">
        <v>53</v>
      </c>
      <c r="C823" s="42">
        <f>VLOOKUP(Tabela13[[#This Row],[Origem]],Tabela1[],2,FALSE)</f>
        <v>103</v>
      </c>
      <c r="D823" s="42">
        <f>VLOOKUP(Tabela13[[#This Row],[Destino]],Tabela1[],2,FALSE)</f>
        <v>53</v>
      </c>
      <c r="E823" s="51" t="s">
        <v>692</v>
      </c>
      <c r="F823" s="52" t="s">
        <v>1207</v>
      </c>
      <c r="H823" s="42" t="str">
        <f t="shared" si="24"/>
        <v>Padaria Sul América_UPA Centro</v>
      </c>
      <c r="I823" s="42">
        <f t="shared" si="25"/>
        <v>-1</v>
      </c>
      <c r="J823" s="53">
        <f>COUNTIFS(H$2:H823, H823)-1</f>
        <v>5</v>
      </c>
      <c r="K823" s="42" cm="1">
        <f t="array" ref="K823">IF(I823=1,
    J823,
    MAX(IF(H:H=H823, J:J)) - J823
)</f>
        <v>0</v>
      </c>
    </row>
    <row r="824" spans="1:11" hidden="1" x14ac:dyDescent="0.2">
      <c r="A824" s="43" t="s">
        <v>104</v>
      </c>
      <c r="B824" s="44" t="s">
        <v>74</v>
      </c>
      <c r="C824" s="42">
        <f>VLOOKUP(Tabela13[[#This Row],[Origem]],Tabela1[],2,FALSE)</f>
        <v>104</v>
      </c>
      <c r="D824" s="42">
        <f>VLOOKUP(Tabela13[[#This Row],[Destino]],Tabela1[],2,FALSE)</f>
        <v>74</v>
      </c>
      <c r="E824" s="51" t="s">
        <v>188</v>
      </c>
      <c r="F824" s="52" t="s">
        <v>189</v>
      </c>
      <c r="H824" s="42" t="str">
        <f t="shared" si="24"/>
        <v>Restaurante Marowill_Vila Itararé</v>
      </c>
      <c r="I824" s="42">
        <f t="shared" si="25"/>
        <v>-1</v>
      </c>
      <c r="J824" s="53">
        <f>COUNTIFS(H$2:H824, H824)-1</f>
        <v>0</v>
      </c>
      <c r="K824" s="42" cm="1">
        <f t="array" ref="K824">IF(I824=1,
    J824,
    MAX(IF(H:H=H824, J:J)) - J824
)</f>
        <v>0</v>
      </c>
    </row>
    <row r="825" spans="1:11" x14ac:dyDescent="0.2">
      <c r="A825" s="43" t="s">
        <v>104</v>
      </c>
      <c r="B825" s="44" t="s">
        <v>84</v>
      </c>
      <c r="C825" s="42">
        <f>VLOOKUP(Tabela13[[#This Row],[Origem]],Tabela1[],2,FALSE)</f>
        <v>104</v>
      </c>
      <c r="D825" s="42">
        <f>VLOOKUP(Tabela13[[#This Row],[Destino]],Tabela1[],2,FALSE)</f>
        <v>84</v>
      </c>
      <c r="E825" s="51" t="s">
        <v>693</v>
      </c>
      <c r="F825" s="52" t="s">
        <v>1208</v>
      </c>
      <c r="H825" s="42" t="str">
        <f t="shared" si="24"/>
        <v>Rua da Imperatiz_Vila Itararé</v>
      </c>
      <c r="I825" s="42">
        <f t="shared" si="25"/>
        <v>-1</v>
      </c>
      <c r="J825" s="53">
        <f>COUNTIFS(H$2:H825, H825)-1</f>
        <v>0</v>
      </c>
      <c r="K825" s="42" cm="1">
        <f t="array" ref="K825">IF(I825=1,
    J825,
    MAX(IF(H:H=H825, J:J)) - J825
)</f>
        <v>0</v>
      </c>
    </row>
    <row r="826" spans="1:11" x14ac:dyDescent="0.2">
      <c r="A826" s="43" t="s">
        <v>105</v>
      </c>
      <c r="B826" s="44" t="s">
        <v>17</v>
      </c>
      <c r="C826" s="42">
        <f>VLOOKUP(Tabela13[[#This Row],[Origem]],Tabela1[],2,FALSE)</f>
        <v>105</v>
      </c>
      <c r="D826" s="42">
        <f>VLOOKUP(Tabela13[[#This Row],[Destino]],Tabela1[],2,FALSE)</f>
        <v>17</v>
      </c>
      <c r="E826" s="51" t="s">
        <v>310</v>
      </c>
      <c r="F826" s="52" t="s">
        <v>824</v>
      </c>
      <c r="H826" s="42" t="str">
        <f t="shared" si="24"/>
        <v>Batalhão_Vila Militar</v>
      </c>
      <c r="I826" s="42">
        <f t="shared" si="25"/>
        <v>-1</v>
      </c>
      <c r="J826" s="53">
        <f>COUNTIFS(H$2:H826, H826)-1</f>
        <v>21</v>
      </c>
      <c r="K826" s="42" cm="1">
        <f t="array" ref="K826">IF(I826=1,
    J826,
    MAX(IF(H:H=H826, J:J)) - J826
)</f>
        <v>20</v>
      </c>
    </row>
    <row r="827" spans="1:11" x14ac:dyDescent="0.2">
      <c r="A827" s="43" t="s">
        <v>105</v>
      </c>
      <c r="B827" s="44" t="s">
        <v>17</v>
      </c>
      <c r="C827" s="42">
        <f>VLOOKUP(Tabela13[[#This Row],[Origem]],Tabela1[],2,FALSE)</f>
        <v>105</v>
      </c>
      <c r="D827" s="42">
        <f>VLOOKUP(Tabela13[[#This Row],[Destino]],Tabela1[],2,FALSE)</f>
        <v>17</v>
      </c>
      <c r="E827" s="51" t="s">
        <v>311</v>
      </c>
      <c r="F827" s="52" t="s">
        <v>825</v>
      </c>
      <c r="H827" s="42" t="str">
        <f t="shared" si="24"/>
        <v>Batalhão_Vila Militar</v>
      </c>
      <c r="I827" s="42">
        <f t="shared" si="25"/>
        <v>-1</v>
      </c>
      <c r="J827" s="53">
        <f>COUNTIFS(H$2:H827, H827)-1</f>
        <v>22</v>
      </c>
      <c r="K827" s="42" cm="1">
        <f t="array" ref="K827">IF(I827=1,
    J827,
    MAX(IF(H:H=H827, J:J)) - J827
)</f>
        <v>19</v>
      </c>
    </row>
    <row r="828" spans="1:11" x14ac:dyDescent="0.2">
      <c r="A828" s="43" t="s">
        <v>105</v>
      </c>
      <c r="B828" s="44" t="s">
        <v>17</v>
      </c>
      <c r="C828" s="42">
        <f>VLOOKUP(Tabela13[[#This Row],[Origem]],Tabela1[],2,FALSE)</f>
        <v>105</v>
      </c>
      <c r="D828" s="42">
        <f>VLOOKUP(Tabela13[[#This Row],[Destino]],Tabela1[],2,FALSE)</f>
        <v>17</v>
      </c>
      <c r="E828" s="51" t="s">
        <v>312</v>
      </c>
      <c r="F828" s="52" t="s">
        <v>826</v>
      </c>
      <c r="H828" s="42" t="str">
        <f t="shared" si="24"/>
        <v>Batalhão_Vila Militar</v>
      </c>
      <c r="I828" s="42">
        <f t="shared" si="25"/>
        <v>-1</v>
      </c>
      <c r="J828" s="53">
        <f>COUNTIFS(H$2:H828, H828)-1</f>
        <v>23</v>
      </c>
      <c r="K828" s="42" cm="1">
        <f t="array" ref="K828">IF(I828=1,
    J828,
    MAX(IF(H:H=H828, J:J)) - J828
)</f>
        <v>18</v>
      </c>
    </row>
    <row r="829" spans="1:11" x14ac:dyDescent="0.2">
      <c r="A829" s="43" t="s">
        <v>105</v>
      </c>
      <c r="B829" s="44" t="s">
        <v>17</v>
      </c>
      <c r="C829" s="42">
        <f>VLOOKUP(Tabela13[[#This Row],[Origem]],Tabela1[],2,FALSE)</f>
        <v>105</v>
      </c>
      <c r="D829" s="42">
        <f>VLOOKUP(Tabela13[[#This Row],[Destino]],Tabela1[],2,FALSE)</f>
        <v>17</v>
      </c>
      <c r="E829" s="51" t="s">
        <v>313</v>
      </c>
      <c r="F829" s="52" t="s">
        <v>827</v>
      </c>
      <c r="H829" s="42" t="str">
        <f t="shared" si="24"/>
        <v>Batalhão_Vila Militar</v>
      </c>
      <c r="I829" s="42">
        <f t="shared" si="25"/>
        <v>-1</v>
      </c>
      <c r="J829" s="53">
        <f>COUNTIFS(H$2:H829, H829)-1</f>
        <v>24</v>
      </c>
      <c r="K829" s="42" cm="1">
        <f t="array" ref="K829">IF(I829=1,
    J829,
    MAX(IF(H:H=H829, J:J)) - J829
)</f>
        <v>17</v>
      </c>
    </row>
    <row r="830" spans="1:11" x14ac:dyDescent="0.2">
      <c r="A830" s="43" t="s">
        <v>105</v>
      </c>
      <c r="B830" s="44" t="s">
        <v>17</v>
      </c>
      <c r="C830" s="42">
        <f>VLOOKUP(Tabela13[[#This Row],[Origem]],Tabela1[],2,FALSE)</f>
        <v>105</v>
      </c>
      <c r="D830" s="42">
        <f>VLOOKUP(Tabela13[[#This Row],[Destino]],Tabela1[],2,FALSE)</f>
        <v>17</v>
      </c>
      <c r="E830" s="51" t="s">
        <v>215</v>
      </c>
      <c r="F830" s="52" t="s">
        <v>828</v>
      </c>
      <c r="H830" s="42" t="str">
        <f t="shared" si="24"/>
        <v>Batalhão_Vila Militar</v>
      </c>
      <c r="I830" s="42">
        <f t="shared" si="25"/>
        <v>-1</v>
      </c>
      <c r="J830" s="53">
        <f>COUNTIFS(H$2:H830, H830)-1</f>
        <v>25</v>
      </c>
      <c r="K830" s="42" cm="1">
        <f t="array" ref="K830">IF(I830=1,
    J830,
    MAX(IF(H:H=H830, J:J)) - J830
)</f>
        <v>16</v>
      </c>
    </row>
    <row r="831" spans="1:11" x14ac:dyDescent="0.2">
      <c r="A831" s="43" t="s">
        <v>105</v>
      </c>
      <c r="B831" s="44" t="s">
        <v>17</v>
      </c>
      <c r="C831" s="42">
        <f>VLOOKUP(Tabela13[[#This Row],[Origem]],Tabela1[],2,FALSE)</f>
        <v>105</v>
      </c>
      <c r="D831" s="42">
        <f>VLOOKUP(Tabela13[[#This Row],[Destino]],Tabela1[],2,FALSE)</f>
        <v>17</v>
      </c>
      <c r="E831" s="51" t="s">
        <v>314</v>
      </c>
      <c r="F831" s="52" t="s">
        <v>829</v>
      </c>
      <c r="H831" s="42" t="str">
        <f t="shared" si="24"/>
        <v>Batalhão_Vila Militar</v>
      </c>
      <c r="I831" s="42">
        <f t="shared" si="25"/>
        <v>-1</v>
      </c>
      <c r="J831" s="53">
        <f>COUNTIFS(H$2:H831, H831)-1</f>
        <v>26</v>
      </c>
      <c r="K831" s="42" cm="1">
        <f t="array" ref="K831">IF(I831=1,
    J831,
    MAX(IF(H:H=H831, J:J)) - J831
)</f>
        <v>15</v>
      </c>
    </row>
    <row r="832" spans="1:11" x14ac:dyDescent="0.2">
      <c r="A832" s="43" t="s">
        <v>105</v>
      </c>
      <c r="B832" s="44" t="s">
        <v>17</v>
      </c>
      <c r="C832" s="42">
        <f>VLOOKUP(Tabela13[[#This Row],[Origem]],Tabela1[],2,FALSE)</f>
        <v>105</v>
      </c>
      <c r="D832" s="42">
        <f>VLOOKUP(Tabela13[[#This Row],[Destino]],Tabela1[],2,FALSE)</f>
        <v>17</v>
      </c>
      <c r="E832" s="51" t="s">
        <v>315</v>
      </c>
      <c r="F832" s="52" t="s">
        <v>830</v>
      </c>
      <c r="H832" s="42" t="str">
        <f t="shared" si="24"/>
        <v>Batalhão_Vila Militar</v>
      </c>
      <c r="I832" s="42">
        <f t="shared" si="25"/>
        <v>-1</v>
      </c>
      <c r="J832" s="53">
        <f>COUNTIFS(H$2:H832, H832)-1</f>
        <v>27</v>
      </c>
      <c r="K832" s="42" cm="1">
        <f t="array" ref="K832">IF(I832=1,
    J832,
    MAX(IF(H:H=H832, J:J)) - J832
)</f>
        <v>14</v>
      </c>
    </row>
    <row r="833" spans="1:11" x14ac:dyDescent="0.2">
      <c r="A833" s="43" t="s">
        <v>105</v>
      </c>
      <c r="B833" s="44" t="s">
        <v>17</v>
      </c>
      <c r="C833" s="42">
        <f>VLOOKUP(Tabela13[[#This Row],[Origem]],Tabela1[],2,FALSE)</f>
        <v>105</v>
      </c>
      <c r="D833" s="42">
        <f>VLOOKUP(Tabela13[[#This Row],[Destino]],Tabela1[],2,FALSE)</f>
        <v>17</v>
      </c>
      <c r="E833" s="51" t="s">
        <v>316</v>
      </c>
      <c r="F833" s="52" t="s">
        <v>831</v>
      </c>
      <c r="H833" s="42" t="str">
        <f t="shared" si="24"/>
        <v>Batalhão_Vila Militar</v>
      </c>
      <c r="I833" s="42">
        <f t="shared" si="25"/>
        <v>-1</v>
      </c>
      <c r="J833" s="53">
        <f>COUNTIFS(H$2:H833, H833)-1</f>
        <v>28</v>
      </c>
      <c r="K833" s="42" cm="1">
        <f t="array" ref="K833">IF(I833=1,
    J833,
    MAX(IF(H:H=H833, J:J)) - J833
)</f>
        <v>13</v>
      </c>
    </row>
    <row r="834" spans="1:11" x14ac:dyDescent="0.2">
      <c r="A834" s="43" t="s">
        <v>105</v>
      </c>
      <c r="B834" s="44" t="s">
        <v>17</v>
      </c>
      <c r="C834" s="42">
        <f>VLOOKUP(Tabela13[[#This Row],[Origem]],Tabela1[],2,FALSE)</f>
        <v>105</v>
      </c>
      <c r="D834" s="42">
        <f>VLOOKUP(Tabela13[[#This Row],[Destino]],Tabela1[],2,FALSE)</f>
        <v>17</v>
      </c>
      <c r="E834" s="51" t="s">
        <v>317</v>
      </c>
      <c r="F834" s="52" t="s">
        <v>832</v>
      </c>
      <c r="H834" s="42" t="str">
        <f t="shared" ref="H834:H874" si="26">IF(A834&lt;B834, A834&amp;"_"&amp;B834, B834&amp;"_"&amp;A834)</f>
        <v>Batalhão_Vila Militar</v>
      </c>
      <c r="I834" s="42">
        <f t="shared" ref="I834:I874" si="27">IF(A834&lt;B834, 1, -1)</f>
        <v>-1</v>
      </c>
      <c r="J834" s="53">
        <f>COUNTIFS(H$2:H834, H834)-1</f>
        <v>29</v>
      </c>
      <c r="K834" s="42" cm="1">
        <f t="array" ref="K834">IF(I834=1,
    J834,
    MAX(IF(H:H=H834, J:J)) - J834
)</f>
        <v>12</v>
      </c>
    </row>
    <row r="835" spans="1:11" x14ac:dyDescent="0.2">
      <c r="A835" s="43" t="s">
        <v>105</v>
      </c>
      <c r="B835" s="44" t="s">
        <v>17</v>
      </c>
      <c r="C835" s="42">
        <f>VLOOKUP(Tabela13[[#This Row],[Origem]],Tabela1[],2,FALSE)</f>
        <v>105</v>
      </c>
      <c r="D835" s="42">
        <f>VLOOKUP(Tabela13[[#This Row],[Destino]],Tabela1[],2,FALSE)</f>
        <v>17</v>
      </c>
      <c r="E835" s="51" t="s">
        <v>318</v>
      </c>
      <c r="F835" s="52" t="s">
        <v>833</v>
      </c>
      <c r="H835" s="42" t="str">
        <f t="shared" si="26"/>
        <v>Batalhão_Vila Militar</v>
      </c>
      <c r="I835" s="42">
        <f t="shared" si="27"/>
        <v>-1</v>
      </c>
      <c r="J835" s="53">
        <f>COUNTIFS(H$2:H835, H835)-1</f>
        <v>30</v>
      </c>
      <c r="K835" s="42" cm="1">
        <f t="array" ref="K835">IF(I835=1,
    J835,
    MAX(IF(H:H=H835, J:J)) - J835
)</f>
        <v>11</v>
      </c>
    </row>
    <row r="836" spans="1:11" x14ac:dyDescent="0.2">
      <c r="A836" s="43" t="s">
        <v>105</v>
      </c>
      <c r="B836" s="44" t="s">
        <v>17</v>
      </c>
      <c r="C836" s="42">
        <f>VLOOKUP(Tabela13[[#This Row],[Origem]],Tabela1[],2,FALSE)</f>
        <v>105</v>
      </c>
      <c r="D836" s="42">
        <f>VLOOKUP(Tabela13[[#This Row],[Destino]],Tabela1[],2,FALSE)</f>
        <v>17</v>
      </c>
      <c r="E836" s="51" t="s">
        <v>319</v>
      </c>
      <c r="F836" s="52" t="s">
        <v>834</v>
      </c>
      <c r="H836" s="42" t="str">
        <f t="shared" si="26"/>
        <v>Batalhão_Vila Militar</v>
      </c>
      <c r="I836" s="42">
        <f t="shared" si="27"/>
        <v>-1</v>
      </c>
      <c r="J836" s="53">
        <f>COUNTIFS(H$2:H836, H836)-1</f>
        <v>31</v>
      </c>
      <c r="K836" s="42" cm="1">
        <f t="array" ref="K836">IF(I836=1,
    J836,
    MAX(IF(H:H=H836, J:J)) - J836
)</f>
        <v>10</v>
      </c>
    </row>
    <row r="837" spans="1:11" x14ac:dyDescent="0.2">
      <c r="A837" s="43" t="s">
        <v>105</v>
      </c>
      <c r="B837" s="44" t="s">
        <v>17</v>
      </c>
      <c r="C837" s="42">
        <f>VLOOKUP(Tabela13[[#This Row],[Origem]],Tabela1[],2,FALSE)</f>
        <v>105</v>
      </c>
      <c r="D837" s="42">
        <f>VLOOKUP(Tabela13[[#This Row],[Destino]],Tabela1[],2,FALSE)</f>
        <v>17</v>
      </c>
      <c r="E837" s="51" t="s">
        <v>320</v>
      </c>
      <c r="F837" s="52" t="s">
        <v>803</v>
      </c>
      <c r="H837" s="42" t="str">
        <f t="shared" si="26"/>
        <v>Batalhão_Vila Militar</v>
      </c>
      <c r="I837" s="42">
        <f t="shared" si="27"/>
        <v>-1</v>
      </c>
      <c r="J837" s="53">
        <f>COUNTIFS(H$2:H837, H837)-1</f>
        <v>32</v>
      </c>
      <c r="K837" s="42" cm="1">
        <f t="array" ref="K837">IF(I837=1,
    J837,
    MAX(IF(H:H=H837, J:J)) - J837
)</f>
        <v>9</v>
      </c>
    </row>
    <row r="838" spans="1:11" x14ac:dyDescent="0.2">
      <c r="A838" s="43" t="s">
        <v>105</v>
      </c>
      <c r="B838" s="44" t="s">
        <v>17</v>
      </c>
      <c r="C838" s="42">
        <f>VLOOKUP(Tabela13[[#This Row],[Origem]],Tabela1[],2,FALSE)</f>
        <v>105</v>
      </c>
      <c r="D838" s="42">
        <f>VLOOKUP(Tabela13[[#This Row],[Destino]],Tabela1[],2,FALSE)</f>
        <v>17</v>
      </c>
      <c r="E838" s="51" t="s">
        <v>321</v>
      </c>
      <c r="F838" s="52" t="s">
        <v>835</v>
      </c>
      <c r="H838" s="42" t="str">
        <f t="shared" si="26"/>
        <v>Batalhão_Vila Militar</v>
      </c>
      <c r="I838" s="42">
        <f t="shared" si="27"/>
        <v>-1</v>
      </c>
      <c r="J838" s="53">
        <f>COUNTIFS(H$2:H838, H838)-1</f>
        <v>33</v>
      </c>
      <c r="K838" s="42" cm="1">
        <f t="array" ref="K838">IF(I838=1,
    J838,
    MAX(IF(H:H=H838, J:J)) - J838
)</f>
        <v>8</v>
      </c>
    </row>
    <row r="839" spans="1:11" x14ac:dyDescent="0.2">
      <c r="A839" s="43" t="s">
        <v>105</v>
      </c>
      <c r="B839" s="44" t="s">
        <v>17</v>
      </c>
      <c r="C839" s="42">
        <f>VLOOKUP(Tabela13[[#This Row],[Origem]],Tabela1[],2,FALSE)</f>
        <v>105</v>
      </c>
      <c r="D839" s="42">
        <f>VLOOKUP(Tabela13[[#This Row],[Destino]],Tabela1[],2,FALSE)</f>
        <v>17</v>
      </c>
      <c r="E839" s="51" t="s">
        <v>322</v>
      </c>
      <c r="F839" s="52" t="s">
        <v>836</v>
      </c>
      <c r="H839" s="42" t="str">
        <f t="shared" si="26"/>
        <v>Batalhão_Vila Militar</v>
      </c>
      <c r="I839" s="42">
        <f t="shared" si="27"/>
        <v>-1</v>
      </c>
      <c r="J839" s="53">
        <f>COUNTIFS(H$2:H839, H839)-1</f>
        <v>34</v>
      </c>
      <c r="K839" s="42" cm="1">
        <f t="array" ref="K839">IF(I839=1,
    J839,
    MAX(IF(H:H=H839, J:J)) - J839
)</f>
        <v>7</v>
      </c>
    </row>
    <row r="840" spans="1:11" x14ac:dyDescent="0.2">
      <c r="A840" s="43" t="s">
        <v>105</v>
      </c>
      <c r="B840" s="44" t="s">
        <v>17</v>
      </c>
      <c r="C840" s="42">
        <f>VLOOKUP(Tabela13[[#This Row],[Origem]],Tabela1[],2,FALSE)</f>
        <v>105</v>
      </c>
      <c r="D840" s="42">
        <f>VLOOKUP(Tabela13[[#This Row],[Destino]],Tabela1[],2,FALSE)</f>
        <v>17</v>
      </c>
      <c r="E840" s="51" t="s">
        <v>323</v>
      </c>
      <c r="F840" s="52" t="s">
        <v>837</v>
      </c>
      <c r="H840" s="42" t="str">
        <f t="shared" si="26"/>
        <v>Batalhão_Vila Militar</v>
      </c>
      <c r="I840" s="42">
        <f t="shared" si="27"/>
        <v>-1</v>
      </c>
      <c r="J840" s="53">
        <f>COUNTIFS(H$2:H840, H840)-1</f>
        <v>35</v>
      </c>
      <c r="K840" s="42" cm="1">
        <f t="array" ref="K840">IF(I840=1,
    J840,
    MAX(IF(H:H=H840, J:J)) - J840
)</f>
        <v>6</v>
      </c>
    </row>
    <row r="841" spans="1:11" x14ac:dyDescent="0.2">
      <c r="A841" s="43" t="s">
        <v>105</v>
      </c>
      <c r="B841" s="44" t="s">
        <v>17</v>
      </c>
      <c r="C841" s="42">
        <f>VLOOKUP(Tabela13[[#This Row],[Origem]],Tabela1[],2,FALSE)</f>
        <v>105</v>
      </c>
      <c r="D841" s="42">
        <f>VLOOKUP(Tabela13[[#This Row],[Destino]],Tabela1[],2,FALSE)</f>
        <v>17</v>
      </c>
      <c r="E841" s="51" t="s">
        <v>324</v>
      </c>
      <c r="F841" s="52" t="s">
        <v>838</v>
      </c>
      <c r="H841" s="42" t="str">
        <f t="shared" si="26"/>
        <v>Batalhão_Vila Militar</v>
      </c>
      <c r="I841" s="42">
        <f t="shared" si="27"/>
        <v>-1</v>
      </c>
      <c r="J841" s="53">
        <f>COUNTIFS(H$2:H841, H841)-1</f>
        <v>36</v>
      </c>
      <c r="K841" s="42" cm="1">
        <f t="array" ref="K841">IF(I841=1,
    J841,
    MAX(IF(H:H=H841, J:J)) - J841
)</f>
        <v>5</v>
      </c>
    </row>
    <row r="842" spans="1:11" x14ac:dyDescent="0.2">
      <c r="A842" s="43" t="s">
        <v>105</v>
      </c>
      <c r="B842" s="44" t="s">
        <v>17</v>
      </c>
      <c r="C842" s="42">
        <f>VLOOKUP(Tabela13[[#This Row],[Origem]],Tabela1[],2,FALSE)</f>
        <v>105</v>
      </c>
      <c r="D842" s="42">
        <f>VLOOKUP(Tabela13[[#This Row],[Destino]],Tabela1[],2,FALSE)</f>
        <v>17</v>
      </c>
      <c r="E842" s="51" t="s">
        <v>325</v>
      </c>
      <c r="F842" s="52" t="s">
        <v>839</v>
      </c>
      <c r="H842" s="42" t="str">
        <f t="shared" si="26"/>
        <v>Batalhão_Vila Militar</v>
      </c>
      <c r="I842" s="42">
        <f t="shared" si="27"/>
        <v>-1</v>
      </c>
      <c r="J842" s="53">
        <f>COUNTIFS(H$2:H842, H842)-1</f>
        <v>37</v>
      </c>
      <c r="K842" s="42" cm="1">
        <f t="array" ref="K842">IF(I842=1,
    J842,
    MAX(IF(H:H=H842, J:J)) - J842
)</f>
        <v>4</v>
      </c>
    </row>
    <row r="843" spans="1:11" x14ac:dyDescent="0.2">
      <c r="A843" s="43" t="s">
        <v>105</v>
      </c>
      <c r="B843" s="44" t="s">
        <v>17</v>
      </c>
      <c r="C843" s="42">
        <f>VLOOKUP(Tabela13[[#This Row],[Origem]],Tabela1[],2,FALSE)</f>
        <v>105</v>
      </c>
      <c r="D843" s="42">
        <f>VLOOKUP(Tabela13[[#This Row],[Destino]],Tabela1[],2,FALSE)</f>
        <v>17</v>
      </c>
      <c r="E843" s="51" t="s">
        <v>326</v>
      </c>
      <c r="F843" s="52" t="s">
        <v>840</v>
      </c>
      <c r="H843" s="42" t="str">
        <f t="shared" si="26"/>
        <v>Batalhão_Vila Militar</v>
      </c>
      <c r="I843" s="42">
        <f t="shared" si="27"/>
        <v>-1</v>
      </c>
      <c r="J843" s="53">
        <f>COUNTIFS(H$2:H843, H843)-1</f>
        <v>38</v>
      </c>
      <c r="K843" s="42" cm="1">
        <f t="array" ref="K843">IF(I843=1,
    J843,
    MAX(IF(H:H=H843, J:J)) - J843
)</f>
        <v>3</v>
      </c>
    </row>
    <row r="844" spans="1:11" x14ac:dyDescent="0.2">
      <c r="A844" s="43" t="s">
        <v>105</v>
      </c>
      <c r="B844" s="44" t="s">
        <v>17</v>
      </c>
      <c r="C844" s="42">
        <f>VLOOKUP(Tabela13[[#This Row],[Origem]],Tabela1[],2,FALSE)</f>
        <v>105</v>
      </c>
      <c r="D844" s="42">
        <f>VLOOKUP(Tabela13[[#This Row],[Destino]],Tabela1[],2,FALSE)</f>
        <v>17</v>
      </c>
      <c r="E844" s="51" t="s">
        <v>327</v>
      </c>
      <c r="F844" s="52" t="s">
        <v>841</v>
      </c>
      <c r="H844" s="42" t="str">
        <f t="shared" si="26"/>
        <v>Batalhão_Vila Militar</v>
      </c>
      <c r="I844" s="42">
        <f t="shared" si="27"/>
        <v>-1</v>
      </c>
      <c r="J844" s="53">
        <f>COUNTIFS(H$2:H844, H844)-1</f>
        <v>39</v>
      </c>
      <c r="K844" s="42" cm="1">
        <f t="array" ref="K844">IF(I844=1,
    J844,
    MAX(IF(H:H=H844, J:J)) - J844
)</f>
        <v>2</v>
      </c>
    </row>
    <row r="845" spans="1:11" x14ac:dyDescent="0.2">
      <c r="A845" s="43" t="s">
        <v>105</v>
      </c>
      <c r="B845" s="44" t="s">
        <v>17</v>
      </c>
      <c r="C845" s="42">
        <f>VLOOKUP(Tabela13[[#This Row],[Origem]],Tabela1[],2,FALSE)</f>
        <v>105</v>
      </c>
      <c r="D845" s="42">
        <f>VLOOKUP(Tabela13[[#This Row],[Destino]],Tabela1[],2,FALSE)</f>
        <v>17</v>
      </c>
      <c r="E845" s="51" t="s">
        <v>328</v>
      </c>
      <c r="F845" s="52" t="s">
        <v>842</v>
      </c>
      <c r="H845" s="42" t="str">
        <f t="shared" si="26"/>
        <v>Batalhão_Vila Militar</v>
      </c>
      <c r="I845" s="42">
        <f t="shared" si="27"/>
        <v>-1</v>
      </c>
      <c r="J845" s="53">
        <f>COUNTIFS(H$2:H845, H845)-1</f>
        <v>40</v>
      </c>
      <c r="K845" s="42" cm="1">
        <f t="array" ref="K845">IF(I845=1,
    J845,
    MAX(IF(H:H=H845, J:J)) - J845
)</f>
        <v>1</v>
      </c>
    </row>
    <row r="846" spans="1:11" x14ac:dyDescent="0.2">
      <c r="A846" s="43" t="s">
        <v>105</v>
      </c>
      <c r="B846" s="44" t="s">
        <v>17</v>
      </c>
      <c r="C846" s="42">
        <f>VLOOKUP(Tabela13[[#This Row],[Origem]],Tabela1[],2,FALSE)</f>
        <v>105</v>
      </c>
      <c r="D846" s="42">
        <f>VLOOKUP(Tabela13[[#This Row],[Destino]],Tabela1[],2,FALSE)</f>
        <v>17</v>
      </c>
      <c r="E846" s="51" t="s">
        <v>329</v>
      </c>
      <c r="F846" s="52" t="s">
        <v>843</v>
      </c>
      <c r="H846" s="42" t="str">
        <f t="shared" si="26"/>
        <v>Batalhão_Vila Militar</v>
      </c>
      <c r="I846" s="42">
        <f t="shared" si="27"/>
        <v>-1</v>
      </c>
      <c r="J846" s="53">
        <f>COUNTIFS(H$2:H846, H846)-1</f>
        <v>41</v>
      </c>
      <c r="K846" s="42" cm="1">
        <f t="array" ref="K846">IF(I846=1,
    J846,
    MAX(IF(H:H=H846, J:J)) - J846
)</f>
        <v>0</v>
      </c>
    </row>
    <row r="847" spans="1:11" x14ac:dyDescent="0.2">
      <c r="A847" s="43" t="s">
        <v>105</v>
      </c>
      <c r="B847" s="44" t="s">
        <v>34</v>
      </c>
      <c r="C847" s="42">
        <f>VLOOKUP(Tabela13[[#This Row],[Origem]],Tabela1[],2,FALSE)</f>
        <v>105</v>
      </c>
      <c r="D847" s="42">
        <f>VLOOKUP(Tabela13[[#This Row],[Destino]],Tabela1[],2,FALSE)</f>
        <v>34</v>
      </c>
      <c r="E847" s="51" t="s">
        <v>694</v>
      </c>
      <c r="F847" s="52" t="s">
        <v>1209</v>
      </c>
      <c r="H847" s="42" t="str">
        <f t="shared" si="26"/>
        <v>Hospital Santa Teresa_Vila Militar</v>
      </c>
      <c r="I847" s="42">
        <f t="shared" si="27"/>
        <v>-1</v>
      </c>
      <c r="J847" s="53">
        <f>COUNTIFS(H$2:H847, H847)-1</f>
        <v>0</v>
      </c>
      <c r="K847" s="42" cm="1">
        <f t="array" ref="K847">IF(I847=1,
    J847,
    MAX(IF(H:H=H847, J:J)) - J847
)</f>
        <v>1</v>
      </c>
    </row>
    <row r="848" spans="1:11" x14ac:dyDescent="0.2">
      <c r="A848" s="43" t="s">
        <v>105</v>
      </c>
      <c r="B848" s="44" t="s">
        <v>34</v>
      </c>
      <c r="C848" s="42">
        <f>VLOOKUP(Tabela13[[#This Row],[Origem]],Tabela1[],2,FALSE)</f>
        <v>105</v>
      </c>
      <c r="D848" s="42">
        <f>VLOOKUP(Tabela13[[#This Row],[Destino]],Tabela1[],2,FALSE)</f>
        <v>34</v>
      </c>
      <c r="E848" s="51" t="s">
        <v>695</v>
      </c>
      <c r="F848" s="52" t="s">
        <v>1210</v>
      </c>
      <c r="H848" s="42" t="str">
        <f t="shared" si="26"/>
        <v>Hospital Santa Teresa_Vila Militar</v>
      </c>
      <c r="I848" s="42">
        <f t="shared" si="27"/>
        <v>-1</v>
      </c>
      <c r="J848" s="53">
        <f>COUNTIFS(H$2:H848, H848)-1</f>
        <v>1</v>
      </c>
      <c r="K848" s="42" cm="1">
        <f t="array" ref="K848">IF(I848=1,
    J848,
    MAX(IF(H:H=H848, J:J)) - J848
)</f>
        <v>0</v>
      </c>
    </row>
    <row r="849" spans="1:11" x14ac:dyDescent="0.2">
      <c r="A849" s="43" t="s">
        <v>106</v>
      </c>
      <c r="B849" s="44" t="s">
        <v>60</v>
      </c>
      <c r="C849" s="42">
        <f>VLOOKUP(Tabela13[[#This Row],[Origem]],Tabela1[],2,FALSE)</f>
        <v>106</v>
      </c>
      <c r="D849" s="42">
        <f>VLOOKUP(Tabela13[[#This Row],[Destino]],Tabela1[],2,FALSE)</f>
        <v>60</v>
      </c>
      <c r="E849" s="51" t="s">
        <v>696</v>
      </c>
      <c r="F849" s="52" t="s">
        <v>1211</v>
      </c>
      <c r="H849" s="42" t="str">
        <f t="shared" si="26"/>
        <v>Ponte Mosela_Vila São José</v>
      </c>
      <c r="I849" s="42">
        <f t="shared" si="27"/>
        <v>-1</v>
      </c>
      <c r="J849" s="53">
        <f>COUNTIFS(H$2:H849, H849)-1</f>
        <v>0</v>
      </c>
      <c r="K849" s="42" cm="1">
        <f t="array" ref="K849">IF(I849=1,
    J849,
    MAX(IF(H:H=H849, J:J)) - J849
)</f>
        <v>2</v>
      </c>
    </row>
    <row r="850" spans="1:11" x14ac:dyDescent="0.2">
      <c r="A850" s="43" t="s">
        <v>106</v>
      </c>
      <c r="B850" s="44" t="s">
        <v>60</v>
      </c>
      <c r="C850" s="42">
        <f>VLOOKUP(Tabela13[[#This Row],[Origem]],Tabela1[],2,FALSE)</f>
        <v>106</v>
      </c>
      <c r="D850" s="42">
        <f>VLOOKUP(Tabela13[[#This Row],[Destino]],Tabela1[],2,FALSE)</f>
        <v>60</v>
      </c>
      <c r="E850" s="51" t="s">
        <v>697</v>
      </c>
      <c r="F850" s="52" t="s">
        <v>1212</v>
      </c>
      <c r="H850" s="42" t="str">
        <f t="shared" si="26"/>
        <v>Ponte Mosela_Vila São José</v>
      </c>
      <c r="I850" s="42">
        <f t="shared" si="27"/>
        <v>-1</v>
      </c>
      <c r="J850" s="53">
        <f>COUNTIFS(H$2:H850, H850)-1</f>
        <v>1</v>
      </c>
      <c r="K850" s="42" cm="1">
        <f t="array" ref="K850">IF(I850=1,
    J850,
    MAX(IF(H:H=H850, J:J)) - J850
)</f>
        <v>1</v>
      </c>
    </row>
    <row r="851" spans="1:11" x14ac:dyDescent="0.2">
      <c r="A851" s="43" t="s">
        <v>106</v>
      </c>
      <c r="B851" s="44" t="s">
        <v>60</v>
      </c>
      <c r="C851" s="42">
        <f>VLOOKUP(Tabela13[[#This Row],[Origem]],Tabela1[],2,FALSE)</f>
        <v>106</v>
      </c>
      <c r="D851" s="42">
        <f>VLOOKUP(Tabela13[[#This Row],[Destino]],Tabela1[],2,FALSE)</f>
        <v>60</v>
      </c>
      <c r="E851" s="51" t="s">
        <v>698</v>
      </c>
      <c r="F851" s="52" t="s">
        <v>1213</v>
      </c>
      <c r="H851" s="42" t="str">
        <f t="shared" si="26"/>
        <v>Ponte Mosela_Vila São José</v>
      </c>
      <c r="I851" s="42">
        <f t="shared" si="27"/>
        <v>-1</v>
      </c>
      <c r="J851" s="53">
        <f>COUNTIFS(H$2:H851, H851)-1</f>
        <v>2</v>
      </c>
      <c r="K851" s="42" cm="1">
        <f t="array" ref="K851">IF(I851=1,
    J851,
    MAX(IF(H:H=H851, J:J)) - J851
)</f>
        <v>0</v>
      </c>
    </row>
    <row r="852" spans="1:11" x14ac:dyDescent="0.2">
      <c r="A852" s="43" t="s">
        <v>106</v>
      </c>
      <c r="B852" s="44" t="s">
        <v>92</v>
      </c>
      <c r="C852" s="42">
        <f>VLOOKUP(Tabela13[[#This Row],[Origem]],Tabela1[],2,FALSE)</f>
        <v>106</v>
      </c>
      <c r="D852" s="42">
        <f>VLOOKUP(Tabela13[[#This Row],[Destino]],Tabela1[],2,FALSE)</f>
        <v>92</v>
      </c>
      <c r="E852" s="51" t="s">
        <v>699</v>
      </c>
      <c r="F852" s="52" t="s">
        <v>1214</v>
      </c>
      <c r="H852" s="42" t="str">
        <f t="shared" si="26"/>
        <v>Rua Paulino Afonso_Vila São José</v>
      </c>
      <c r="I852" s="42">
        <f t="shared" si="27"/>
        <v>-1</v>
      </c>
      <c r="J852" s="53">
        <f>COUNTIFS(H$2:H852, H852)-1</f>
        <v>0</v>
      </c>
      <c r="K852" s="42" cm="1">
        <f t="array" ref="K852">IF(I852=1,
    J852,
    MAX(IF(H:H=H852, J:J)) - J852
)</f>
        <v>2</v>
      </c>
    </row>
    <row r="853" spans="1:11" x14ac:dyDescent="0.2">
      <c r="A853" s="43" t="s">
        <v>106</v>
      </c>
      <c r="B853" s="44" t="s">
        <v>92</v>
      </c>
      <c r="C853" s="42">
        <f>VLOOKUP(Tabela13[[#This Row],[Origem]],Tabela1[],2,FALSE)</f>
        <v>106</v>
      </c>
      <c r="D853" s="42">
        <f>VLOOKUP(Tabela13[[#This Row],[Destino]],Tabela1[],2,FALSE)</f>
        <v>92</v>
      </c>
      <c r="E853" s="51" t="s">
        <v>700</v>
      </c>
      <c r="F853" s="52" t="s">
        <v>1215</v>
      </c>
      <c r="H853" s="42" t="str">
        <f t="shared" si="26"/>
        <v>Rua Paulino Afonso_Vila São José</v>
      </c>
      <c r="I853" s="42">
        <f t="shared" si="27"/>
        <v>-1</v>
      </c>
      <c r="J853" s="53">
        <f>COUNTIFS(H$2:H853, H853)-1</f>
        <v>1</v>
      </c>
      <c r="K853" s="42" cm="1">
        <f t="array" ref="K853">IF(I853=1,
    J853,
    MAX(IF(H:H=H853, J:J)) - J853
)</f>
        <v>1</v>
      </c>
    </row>
    <row r="854" spans="1:11" x14ac:dyDescent="0.2">
      <c r="A854" s="43" t="s">
        <v>106</v>
      </c>
      <c r="B854" s="44" t="s">
        <v>92</v>
      </c>
      <c r="C854" s="42">
        <f>VLOOKUP(Tabela13[[#This Row],[Origem]],Tabela1[],2,FALSE)</f>
        <v>106</v>
      </c>
      <c r="D854" s="42">
        <f>VLOOKUP(Tabela13[[#This Row],[Destino]],Tabela1[],2,FALSE)</f>
        <v>92</v>
      </c>
      <c r="E854" s="51" t="s">
        <v>701</v>
      </c>
      <c r="F854" s="52" t="s">
        <v>1216</v>
      </c>
      <c r="H854" s="42" t="str">
        <f t="shared" si="26"/>
        <v>Rua Paulino Afonso_Vila São José</v>
      </c>
      <c r="I854" s="42">
        <f t="shared" si="27"/>
        <v>-1</v>
      </c>
      <c r="J854" s="53">
        <f>COUNTIFS(H$2:H854, H854)-1</f>
        <v>2</v>
      </c>
      <c r="K854" s="42" cm="1">
        <f t="array" ref="K854">IF(I854=1,
    J854,
    MAX(IF(H:H=H854, J:J)) - J854
)</f>
        <v>0</v>
      </c>
    </row>
    <row r="855" spans="1:11" x14ac:dyDescent="0.2">
      <c r="A855" s="43" t="s">
        <v>107</v>
      </c>
      <c r="B855" s="44" t="s">
        <v>42</v>
      </c>
      <c r="C855" s="42">
        <f>VLOOKUP(Tabela13[[#This Row],[Origem]],Tabela1[],2,FALSE)</f>
        <v>107</v>
      </c>
      <c r="D855" s="42">
        <f>VLOOKUP(Tabela13[[#This Row],[Destino]],Tabela1[],2,FALSE)</f>
        <v>42</v>
      </c>
      <c r="E855" s="51" t="s">
        <v>448</v>
      </c>
      <c r="F855" s="52" t="s">
        <v>961</v>
      </c>
      <c r="H855" s="42" t="str">
        <f t="shared" si="26"/>
        <v>Instituto Teológico_Volkswagen</v>
      </c>
      <c r="I855" s="42">
        <f t="shared" si="27"/>
        <v>-1</v>
      </c>
      <c r="J855" s="53">
        <f>COUNTIFS(H$2:H855, H855)-1</f>
        <v>8</v>
      </c>
      <c r="K855" s="42" cm="1">
        <f t="array" ref="K855">IF(I855=1,
    J855,
    MAX(IF(H:H=H855, J:J)) - J855
)</f>
        <v>7</v>
      </c>
    </row>
    <row r="856" spans="1:11" x14ac:dyDescent="0.2">
      <c r="A856" s="43" t="s">
        <v>107</v>
      </c>
      <c r="B856" s="44" t="s">
        <v>42</v>
      </c>
      <c r="C856" s="42">
        <f>VLOOKUP(Tabela13[[#This Row],[Origem]],Tabela1[],2,FALSE)</f>
        <v>107</v>
      </c>
      <c r="D856" s="42">
        <f>VLOOKUP(Tabela13[[#This Row],[Destino]],Tabela1[],2,FALSE)</f>
        <v>42</v>
      </c>
      <c r="E856" s="51" t="s">
        <v>449</v>
      </c>
      <c r="F856" s="52" t="s">
        <v>962</v>
      </c>
      <c r="H856" s="42" t="str">
        <f t="shared" si="26"/>
        <v>Instituto Teológico_Volkswagen</v>
      </c>
      <c r="I856" s="42">
        <f t="shared" si="27"/>
        <v>-1</v>
      </c>
      <c r="J856" s="53">
        <f>COUNTIFS(H$2:H856, H856)-1</f>
        <v>9</v>
      </c>
      <c r="K856" s="42" cm="1">
        <f t="array" ref="K856">IF(I856=1,
    J856,
    MAX(IF(H:H=H856, J:J)) - J856
)</f>
        <v>6</v>
      </c>
    </row>
    <row r="857" spans="1:11" x14ac:dyDescent="0.2">
      <c r="A857" s="43" t="s">
        <v>107</v>
      </c>
      <c r="B857" s="44" t="s">
        <v>42</v>
      </c>
      <c r="C857" s="42">
        <f>VLOOKUP(Tabela13[[#This Row],[Origem]],Tabela1[],2,FALSE)</f>
        <v>107</v>
      </c>
      <c r="D857" s="42">
        <f>VLOOKUP(Tabela13[[#This Row],[Destino]],Tabela1[],2,FALSE)</f>
        <v>42</v>
      </c>
      <c r="E857" s="51" t="s">
        <v>450</v>
      </c>
      <c r="F857" s="52" t="s">
        <v>963</v>
      </c>
      <c r="H857" s="42" t="str">
        <f t="shared" si="26"/>
        <v>Instituto Teológico_Volkswagen</v>
      </c>
      <c r="I857" s="42">
        <f t="shared" si="27"/>
        <v>-1</v>
      </c>
      <c r="J857" s="53">
        <f>COUNTIFS(H$2:H857, H857)-1</f>
        <v>10</v>
      </c>
      <c r="K857" s="42" cm="1">
        <f t="array" ref="K857">IF(I857=1,
    J857,
    MAX(IF(H:H=H857, J:J)) - J857
)</f>
        <v>5</v>
      </c>
    </row>
    <row r="858" spans="1:11" x14ac:dyDescent="0.2">
      <c r="A858" s="43" t="s">
        <v>107</v>
      </c>
      <c r="B858" s="44" t="s">
        <v>42</v>
      </c>
      <c r="C858" s="42">
        <f>VLOOKUP(Tabela13[[#This Row],[Origem]],Tabela1[],2,FALSE)</f>
        <v>107</v>
      </c>
      <c r="D858" s="42">
        <f>VLOOKUP(Tabela13[[#This Row],[Destino]],Tabela1[],2,FALSE)</f>
        <v>42</v>
      </c>
      <c r="E858" s="51" t="s">
        <v>451</v>
      </c>
      <c r="F858" s="52" t="s">
        <v>964</v>
      </c>
      <c r="H858" s="42" t="str">
        <f t="shared" si="26"/>
        <v>Instituto Teológico_Volkswagen</v>
      </c>
      <c r="I858" s="42">
        <f t="shared" si="27"/>
        <v>-1</v>
      </c>
      <c r="J858" s="53">
        <f>COUNTIFS(H$2:H858, H858)-1</f>
        <v>11</v>
      </c>
      <c r="K858" s="42" cm="1">
        <f t="array" ref="K858">IF(I858=1,
    J858,
    MAX(IF(H:H=H858, J:J)) - J858
)</f>
        <v>4</v>
      </c>
    </row>
    <row r="859" spans="1:11" x14ac:dyDescent="0.2">
      <c r="A859" s="43" t="s">
        <v>107</v>
      </c>
      <c r="B859" s="44" t="s">
        <v>42</v>
      </c>
      <c r="C859" s="42">
        <f>VLOOKUP(Tabela13[[#This Row],[Origem]],Tabela1[],2,FALSE)</f>
        <v>107</v>
      </c>
      <c r="D859" s="42">
        <f>VLOOKUP(Tabela13[[#This Row],[Destino]],Tabela1[],2,FALSE)</f>
        <v>42</v>
      </c>
      <c r="E859" s="51" t="s">
        <v>452</v>
      </c>
      <c r="F859" s="52" t="s">
        <v>965</v>
      </c>
      <c r="H859" s="42" t="str">
        <f t="shared" si="26"/>
        <v>Instituto Teológico_Volkswagen</v>
      </c>
      <c r="I859" s="42">
        <f t="shared" si="27"/>
        <v>-1</v>
      </c>
      <c r="J859" s="53">
        <f>COUNTIFS(H$2:H859, H859)-1</f>
        <v>12</v>
      </c>
      <c r="K859" s="42" cm="1">
        <f t="array" ref="K859">IF(I859=1,
    J859,
    MAX(IF(H:H=H859, J:J)) - J859
)</f>
        <v>3</v>
      </c>
    </row>
    <row r="860" spans="1:11" x14ac:dyDescent="0.2">
      <c r="A860" s="43" t="s">
        <v>107</v>
      </c>
      <c r="B860" s="44" t="s">
        <v>42</v>
      </c>
      <c r="C860" s="42">
        <f>VLOOKUP(Tabela13[[#This Row],[Origem]],Tabela1[],2,FALSE)</f>
        <v>107</v>
      </c>
      <c r="D860" s="42">
        <f>VLOOKUP(Tabela13[[#This Row],[Destino]],Tabela1[],2,FALSE)</f>
        <v>42</v>
      </c>
      <c r="E860" s="51" t="s">
        <v>453</v>
      </c>
      <c r="F860" s="52" t="s">
        <v>966</v>
      </c>
      <c r="H860" s="42" t="str">
        <f t="shared" si="26"/>
        <v>Instituto Teológico_Volkswagen</v>
      </c>
      <c r="I860" s="42">
        <f t="shared" si="27"/>
        <v>-1</v>
      </c>
      <c r="J860" s="53">
        <f>COUNTIFS(H$2:H860, H860)-1</f>
        <v>13</v>
      </c>
      <c r="K860" s="42" cm="1">
        <f t="array" ref="K860">IF(I860=1,
    J860,
    MAX(IF(H:H=H860, J:J)) - J860
)</f>
        <v>2</v>
      </c>
    </row>
    <row r="861" spans="1:11" x14ac:dyDescent="0.2">
      <c r="A861" s="43" t="s">
        <v>107</v>
      </c>
      <c r="B861" s="44" t="s">
        <v>42</v>
      </c>
      <c r="C861" s="42">
        <f>VLOOKUP(Tabela13[[#This Row],[Origem]],Tabela1[],2,FALSE)</f>
        <v>107</v>
      </c>
      <c r="D861" s="42">
        <f>VLOOKUP(Tabela13[[#This Row],[Destino]],Tabela1[],2,FALSE)</f>
        <v>42</v>
      </c>
      <c r="E861" s="51" t="s">
        <v>454</v>
      </c>
      <c r="F861" s="52" t="s">
        <v>967</v>
      </c>
      <c r="H861" s="42" t="str">
        <f t="shared" si="26"/>
        <v>Instituto Teológico_Volkswagen</v>
      </c>
      <c r="I861" s="42">
        <f t="shared" si="27"/>
        <v>-1</v>
      </c>
      <c r="J861" s="53">
        <f>COUNTIFS(H$2:H861, H861)-1</f>
        <v>14</v>
      </c>
      <c r="K861" s="42" cm="1">
        <f t="array" ref="K861">IF(I861=1,
    J861,
    MAX(IF(H:H=H861, J:J)) - J861
)</f>
        <v>1</v>
      </c>
    </row>
    <row r="862" spans="1:11" x14ac:dyDescent="0.2">
      <c r="A862" s="43" t="s">
        <v>107</v>
      </c>
      <c r="B862" s="44" t="s">
        <v>42</v>
      </c>
      <c r="C862" s="42">
        <f>VLOOKUP(Tabela13[[#This Row],[Origem]],Tabela1[],2,FALSE)</f>
        <v>107</v>
      </c>
      <c r="D862" s="42">
        <f>VLOOKUP(Tabela13[[#This Row],[Destino]],Tabela1[],2,FALSE)</f>
        <v>42</v>
      </c>
      <c r="E862" s="51" t="s">
        <v>455</v>
      </c>
      <c r="F862" s="52" t="s">
        <v>968</v>
      </c>
      <c r="H862" s="42" t="str">
        <f t="shared" si="26"/>
        <v>Instituto Teológico_Volkswagen</v>
      </c>
      <c r="I862" s="42">
        <f t="shared" si="27"/>
        <v>-1</v>
      </c>
      <c r="J862" s="53">
        <f>COUNTIFS(H$2:H862, H862)-1</f>
        <v>15</v>
      </c>
      <c r="K862" s="42" cm="1">
        <f t="array" ref="K862">IF(I862=1,
    J862,
    MAX(IF(H:H=H862, J:J)) - J862
)</f>
        <v>0</v>
      </c>
    </row>
    <row r="863" spans="1:11" x14ac:dyDescent="0.2">
      <c r="A863" s="43" t="s">
        <v>107</v>
      </c>
      <c r="B863" s="44" t="s">
        <v>47</v>
      </c>
      <c r="C863" s="42">
        <f>VLOOKUP(Tabela13[[#This Row],[Origem]],Tabela1[],2,FALSE)</f>
        <v>107</v>
      </c>
      <c r="D863" s="42">
        <f>VLOOKUP(Tabela13[[#This Row],[Destino]],Tabela1[],2,FALSE)</f>
        <v>47</v>
      </c>
      <c r="E863" s="51" t="s">
        <v>478</v>
      </c>
      <c r="F863" s="52" t="s">
        <v>990</v>
      </c>
      <c r="H863" s="42" t="str">
        <f t="shared" si="26"/>
        <v>Loja Patrone_Volkswagen</v>
      </c>
      <c r="I863" s="42">
        <f t="shared" si="27"/>
        <v>-1</v>
      </c>
      <c r="J863" s="53">
        <f>COUNTIFS(H$2:H863, H863)-1</f>
        <v>1</v>
      </c>
      <c r="K863" s="42" cm="1">
        <f t="array" ref="K863">IF(I863=1,
    J863,
    MAX(IF(H:H=H863, J:J)) - J863
)</f>
        <v>0</v>
      </c>
    </row>
    <row r="864" spans="1:11" x14ac:dyDescent="0.2">
      <c r="A864" s="46" t="s">
        <v>107</v>
      </c>
      <c r="B864" s="47" t="s">
        <v>31</v>
      </c>
      <c r="C864" s="42">
        <f>VLOOKUP(Tabela13[[#This Row],[Origem]],Tabela1[],2,FALSE)</f>
        <v>107</v>
      </c>
      <c r="D864" s="42">
        <f>VLOOKUP(Tabela13[[#This Row],[Destino]],Tabela1[],2,FALSE)</f>
        <v>31</v>
      </c>
      <c r="E864" s="51" t="s">
        <v>414</v>
      </c>
      <c r="F864" s="52" t="s">
        <v>926</v>
      </c>
      <c r="H864" s="42" t="str">
        <f t="shared" si="26"/>
        <v>Duas Pontes_Volkswagen</v>
      </c>
      <c r="I864" s="42">
        <f t="shared" si="27"/>
        <v>-1</v>
      </c>
      <c r="J864" s="53">
        <f>COUNTIFS(H$2:H864, H864)-1</f>
        <v>11</v>
      </c>
      <c r="K864" s="42" cm="1">
        <f t="array" ref="K864">IF(I864=1,
    J864,
    MAX(IF(H:H=H864, J:J)) - J864
)</f>
        <v>10</v>
      </c>
    </row>
    <row r="865" spans="1:11" x14ac:dyDescent="0.2">
      <c r="A865" s="46" t="s">
        <v>107</v>
      </c>
      <c r="B865" s="47" t="s">
        <v>31</v>
      </c>
      <c r="C865" s="48">
        <f>VLOOKUP(Tabela13[[#This Row],[Origem]],Tabela1[],2,FALSE)</f>
        <v>107</v>
      </c>
      <c r="D865" s="42">
        <f>VLOOKUP(Tabela13[[#This Row],[Destino]],Tabela1[],2,FALSE)</f>
        <v>31</v>
      </c>
      <c r="E865" s="51" t="s">
        <v>415</v>
      </c>
      <c r="F865" s="52" t="s">
        <v>927</v>
      </c>
      <c r="H865" s="42" t="str">
        <f t="shared" si="26"/>
        <v>Duas Pontes_Volkswagen</v>
      </c>
      <c r="I865" s="42">
        <f t="shared" si="27"/>
        <v>-1</v>
      </c>
      <c r="J865" s="53">
        <f>COUNTIFS(H$2:H865, H865)-1</f>
        <v>12</v>
      </c>
      <c r="K865" s="42" cm="1">
        <f t="array" ref="K865">IF(I865=1,
    J865,
    MAX(IF(H:H=H865, J:J)) - J865
)</f>
        <v>9</v>
      </c>
    </row>
    <row r="866" spans="1:11" x14ac:dyDescent="0.2">
      <c r="A866" s="46" t="s">
        <v>107</v>
      </c>
      <c r="B866" s="47" t="s">
        <v>31</v>
      </c>
      <c r="C866" s="48">
        <f>VLOOKUP(Tabela13[[#This Row],[Origem]],Tabela1[],2,FALSE)</f>
        <v>107</v>
      </c>
      <c r="D866" s="42">
        <f>VLOOKUP(Tabela13[[#This Row],[Destino]],Tabela1[],2,FALSE)</f>
        <v>31</v>
      </c>
      <c r="E866" s="51" t="s">
        <v>416</v>
      </c>
      <c r="F866" s="52" t="s">
        <v>928</v>
      </c>
      <c r="H866" s="42" t="str">
        <f t="shared" si="26"/>
        <v>Duas Pontes_Volkswagen</v>
      </c>
      <c r="I866" s="42">
        <f t="shared" si="27"/>
        <v>-1</v>
      </c>
      <c r="J866" s="53">
        <f>COUNTIFS(H$2:H866, H866)-1</f>
        <v>13</v>
      </c>
      <c r="K866" s="42" cm="1">
        <f t="array" ref="K866">IF(I866=1,
    J866,
    MAX(IF(H:H=H866, J:J)) - J866
)</f>
        <v>8</v>
      </c>
    </row>
    <row r="867" spans="1:11" x14ac:dyDescent="0.2">
      <c r="A867" s="46" t="s">
        <v>107</v>
      </c>
      <c r="B867" s="47" t="s">
        <v>31</v>
      </c>
      <c r="C867" s="48">
        <f>VLOOKUP(Tabela13[[#This Row],[Origem]],Tabela1[],2,FALSE)</f>
        <v>107</v>
      </c>
      <c r="D867" s="42">
        <f>VLOOKUP(Tabela13[[#This Row],[Destino]],Tabela1[],2,FALSE)</f>
        <v>31</v>
      </c>
      <c r="E867" s="51" t="s">
        <v>417</v>
      </c>
      <c r="F867" s="52" t="s">
        <v>929</v>
      </c>
      <c r="H867" s="42" t="str">
        <f t="shared" si="26"/>
        <v>Duas Pontes_Volkswagen</v>
      </c>
      <c r="I867" s="42">
        <f t="shared" si="27"/>
        <v>-1</v>
      </c>
      <c r="J867" s="53">
        <f>COUNTIFS(H$2:H867, H867)-1</f>
        <v>14</v>
      </c>
      <c r="K867" s="42" cm="1">
        <f t="array" ref="K867">IF(I867=1,
    J867,
    MAX(IF(H:H=H867, J:J)) - J867
)</f>
        <v>7</v>
      </c>
    </row>
    <row r="868" spans="1:11" x14ac:dyDescent="0.2">
      <c r="A868" s="46" t="s">
        <v>107</v>
      </c>
      <c r="B868" s="47" t="s">
        <v>31</v>
      </c>
      <c r="C868" s="48">
        <f>VLOOKUP(Tabela13[[#This Row],[Origem]],Tabela1[],2,FALSE)</f>
        <v>107</v>
      </c>
      <c r="D868" s="42">
        <f>VLOOKUP(Tabela13[[#This Row],[Destino]],Tabela1[],2,FALSE)</f>
        <v>31</v>
      </c>
      <c r="E868" s="51" t="s">
        <v>418</v>
      </c>
      <c r="F868" s="52" t="s">
        <v>930</v>
      </c>
      <c r="H868" s="42" t="str">
        <f t="shared" si="26"/>
        <v>Duas Pontes_Volkswagen</v>
      </c>
      <c r="I868" s="42">
        <f t="shared" si="27"/>
        <v>-1</v>
      </c>
      <c r="J868" s="53">
        <f>COUNTIFS(H$2:H868, H868)-1</f>
        <v>15</v>
      </c>
      <c r="K868" s="42" cm="1">
        <f t="array" ref="K868">IF(I868=1,
    J868,
    MAX(IF(H:H=H868, J:J)) - J868
)</f>
        <v>6</v>
      </c>
    </row>
    <row r="869" spans="1:11" x14ac:dyDescent="0.2">
      <c r="A869" s="46" t="s">
        <v>107</v>
      </c>
      <c r="B869" s="47" t="s">
        <v>31</v>
      </c>
      <c r="C869" s="48">
        <f>VLOOKUP(Tabela13[[#This Row],[Origem]],Tabela1[],2,FALSE)</f>
        <v>107</v>
      </c>
      <c r="D869" s="42">
        <f>VLOOKUP(Tabela13[[#This Row],[Destino]],Tabela1[],2,FALSE)</f>
        <v>31</v>
      </c>
      <c r="E869" s="51" t="s">
        <v>419</v>
      </c>
      <c r="F869" s="52" t="s">
        <v>931</v>
      </c>
      <c r="H869" s="42" t="str">
        <f t="shared" si="26"/>
        <v>Duas Pontes_Volkswagen</v>
      </c>
      <c r="I869" s="42">
        <f t="shared" si="27"/>
        <v>-1</v>
      </c>
      <c r="J869" s="53">
        <f>COUNTIFS(H$2:H869, H869)-1</f>
        <v>16</v>
      </c>
      <c r="K869" s="42" cm="1">
        <f t="array" ref="K869">IF(I869=1,
    J869,
    MAX(IF(H:H=H869, J:J)) - J869
)</f>
        <v>5</v>
      </c>
    </row>
    <row r="870" spans="1:11" x14ac:dyDescent="0.2">
      <c r="A870" s="46" t="s">
        <v>107</v>
      </c>
      <c r="B870" s="47" t="s">
        <v>31</v>
      </c>
      <c r="C870" s="48">
        <f>VLOOKUP(Tabela13[[#This Row],[Origem]],Tabela1[],2,FALSE)</f>
        <v>107</v>
      </c>
      <c r="D870" s="42">
        <f>VLOOKUP(Tabela13[[#This Row],[Destino]],Tabela1[],2,FALSE)</f>
        <v>31</v>
      </c>
      <c r="E870" s="51" t="s">
        <v>420</v>
      </c>
      <c r="F870" s="52" t="s">
        <v>932</v>
      </c>
      <c r="H870" s="42" t="str">
        <f t="shared" si="26"/>
        <v>Duas Pontes_Volkswagen</v>
      </c>
      <c r="I870" s="42">
        <f t="shared" si="27"/>
        <v>-1</v>
      </c>
      <c r="J870" s="53">
        <f>COUNTIFS(H$2:H870, H870)-1</f>
        <v>17</v>
      </c>
      <c r="K870" s="42" cm="1">
        <f t="array" ref="K870">IF(I870=1,
    J870,
    MAX(IF(H:H=H870, J:J)) - J870
)</f>
        <v>4</v>
      </c>
    </row>
    <row r="871" spans="1:11" x14ac:dyDescent="0.2">
      <c r="A871" s="46" t="s">
        <v>107</v>
      </c>
      <c r="B871" s="47" t="s">
        <v>31</v>
      </c>
      <c r="C871" s="48">
        <f>VLOOKUP(Tabela13[[#This Row],[Origem]],Tabela1[],2,FALSE)</f>
        <v>107</v>
      </c>
      <c r="D871" s="42">
        <f>VLOOKUP(Tabela13[[#This Row],[Destino]],Tabela1[],2,FALSE)</f>
        <v>31</v>
      </c>
      <c r="E871" s="51" t="s">
        <v>421</v>
      </c>
      <c r="F871" s="52" t="s">
        <v>933</v>
      </c>
      <c r="H871" s="42" t="str">
        <f t="shared" si="26"/>
        <v>Duas Pontes_Volkswagen</v>
      </c>
      <c r="I871" s="42">
        <f t="shared" si="27"/>
        <v>-1</v>
      </c>
      <c r="J871" s="53">
        <f>COUNTIFS(H$2:H871, H871)-1</f>
        <v>18</v>
      </c>
      <c r="K871" s="42" cm="1">
        <f t="array" ref="K871">IF(I871=1,
    J871,
    MAX(IF(H:H=H871, J:J)) - J871
)</f>
        <v>3</v>
      </c>
    </row>
    <row r="872" spans="1:11" x14ac:dyDescent="0.2">
      <c r="A872" s="46" t="s">
        <v>107</v>
      </c>
      <c r="B872" s="47" t="s">
        <v>31</v>
      </c>
      <c r="C872" s="48">
        <f>VLOOKUP(Tabela13[[#This Row],[Origem]],Tabela1[],2,FALSE)</f>
        <v>107</v>
      </c>
      <c r="D872" s="42">
        <f>VLOOKUP(Tabela13[[#This Row],[Destino]],Tabela1[],2,FALSE)</f>
        <v>31</v>
      </c>
      <c r="E872" s="51" t="s">
        <v>422</v>
      </c>
      <c r="F872" s="52" t="s">
        <v>934</v>
      </c>
      <c r="H872" s="42" t="str">
        <f t="shared" si="26"/>
        <v>Duas Pontes_Volkswagen</v>
      </c>
      <c r="I872" s="42">
        <f t="shared" si="27"/>
        <v>-1</v>
      </c>
      <c r="J872" s="53">
        <f>COUNTIFS(H$2:H872, H872)-1</f>
        <v>19</v>
      </c>
      <c r="K872" s="42" cm="1">
        <f t="array" ref="K872">IF(I872=1,
    J872,
    MAX(IF(H:H=H872, J:J)) - J872
)</f>
        <v>2</v>
      </c>
    </row>
    <row r="873" spans="1:11" x14ac:dyDescent="0.2">
      <c r="A873" s="46" t="s">
        <v>107</v>
      </c>
      <c r="B873" s="47" t="s">
        <v>31</v>
      </c>
      <c r="C873" s="48">
        <f>VLOOKUP(Tabela13[[#This Row],[Origem]],Tabela1[],2,FALSE)</f>
        <v>107</v>
      </c>
      <c r="D873" s="42">
        <f>VLOOKUP(Tabela13[[#This Row],[Destino]],Tabela1[],2,FALSE)</f>
        <v>31</v>
      </c>
      <c r="E873" s="51" t="s">
        <v>423</v>
      </c>
      <c r="F873" s="52" t="s">
        <v>935</v>
      </c>
      <c r="H873" s="42" t="str">
        <f t="shared" si="26"/>
        <v>Duas Pontes_Volkswagen</v>
      </c>
      <c r="I873" s="42">
        <f t="shared" si="27"/>
        <v>-1</v>
      </c>
      <c r="J873" s="53">
        <f>COUNTIFS(H$2:H873, H873)-1</f>
        <v>20</v>
      </c>
      <c r="K873" s="42" cm="1">
        <f t="array" ref="K873">IF(I873=1,
    J873,
    MAX(IF(H:H=H873, J:J)) - J873
)</f>
        <v>1</v>
      </c>
    </row>
    <row r="874" spans="1:11" x14ac:dyDescent="0.2">
      <c r="A874" s="46" t="s">
        <v>107</v>
      </c>
      <c r="B874" s="47" t="s">
        <v>31</v>
      </c>
      <c r="C874" s="48">
        <f>VLOOKUP(Tabela13[[#This Row],[Origem]],Tabela1[],2,FALSE)</f>
        <v>107</v>
      </c>
      <c r="D874" s="42">
        <f>VLOOKUP(Tabela13[[#This Row],[Destino]],Tabela1[],2,FALSE)</f>
        <v>31</v>
      </c>
      <c r="E874" s="51" t="s">
        <v>424</v>
      </c>
      <c r="F874" s="52" t="s">
        <v>936</v>
      </c>
      <c r="H874" s="42" t="str">
        <f t="shared" si="26"/>
        <v>Duas Pontes_Volkswagen</v>
      </c>
      <c r="I874" s="42">
        <f t="shared" si="27"/>
        <v>-1</v>
      </c>
      <c r="J874" s="53">
        <f>COUNTIFS(H$2:H874, H874)-1</f>
        <v>21</v>
      </c>
      <c r="K874" s="42" cm="1">
        <f t="array" ref="K874">IF(I874=1,
    J874,
    MAX(IF(H:H=H874, J:J)) - J874
)</f>
        <v>0</v>
      </c>
    </row>
  </sheetData>
  <phoneticPr fontId="13" type="noConversion"/>
  <conditionalFormatting sqref="F875:F884 F889:F1048576">
    <cfRule type="cellIs" dxfId="1" priority="1" operator="equal">
      <formula>"OK"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9BC3-430F-4BBD-8AA9-54188AB0C5D4}">
  <dimension ref="A1:K8"/>
  <sheetViews>
    <sheetView workbookViewId="0">
      <selection activeCell="H2" sqref="H2:J8"/>
    </sheetView>
  </sheetViews>
  <sheetFormatPr defaultRowHeight="15" x14ac:dyDescent="0.25"/>
  <cols>
    <col min="1" max="1" width="9.140625" style="50"/>
    <col min="2" max="2" width="19.7109375" style="49" bestFit="1" customWidth="1"/>
    <col min="3" max="3" width="21.85546875" style="49" bestFit="1" customWidth="1"/>
    <col min="4" max="9" width="9.140625" style="49"/>
    <col min="10" max="11" width="9.140625" style="42"/>
    <col min="12" max="16384" width="9.140625" style="49"/>
  </cols>
  <sheetData>
    <row r="1" spans="1:9" x14ac:dyDescent="0.25">
      <c r="A1" s="42"/>
      <c r="B1" s="52" t="s">
        <v>1222</v>
      </c>
      <c r="C1" s="52" t="s">
        <v>1223</v>
      </c>
    </row>
    <row r="2" spans="1:9" x14ac:dyDescent="0.25">
      <c r="A2" s="42"/>
      <c r="B2" s="52" t="s">
        <v>1224</v>
      </c>
      <c r="C2" s="52" t="s">
        <v>1225</v>
      </c>
      <c r="H2" s="49" t="s">
        <v>1238</v>
      </c>
      <c r="I2" s="49" t="s">
        <v>1239</v>
      </c>
    </row>
    <row r="3" spans="1:9" x14ac:dyDescent="0.25">
      <c r="A3" s="42"/>
      <c r="B3" s="52" t="s">
        <v>1226</v>
      </c>
      <c r="C3" s="52" t="s">
        <v>1227</v>
      </c>
      <c r="H3" s="49" t="s">
        <v>1240</v>
      </c>
      <c r="I3" s="49" t="s">
        <v>1241</v>
      </c>
    </row>
    <row r="4" spans="1:9" x14ac:dyDescent="0.25">
      <c r="A4" s="42"/>
      <c r="B4" s="52" t="s">
        <v>1228</v>
      </c>
      <c r="C4" s="52" t="s">
        <v>1229</v>
      </c>
      <c r="H4" s="49" t="s">
        <v>1242</v>
      </c>
      <c r="I4" s="49" t="s">
        <v>1243</v>
      </c>
    </row>
    <row r="5" spans="1:9" x14ac:dyDescent="0.25">
      <c r="A5" s="42"/>
      <c r="B5" s="52" t="s">
        <v>1230</v>
      </c>
      <c r="C5" s="52" t="s">
        <v>1231</v>
      </c>
      <c r="H5" s="49" t="s">
        <v>1244</v>
      </c>
      <c r="I5" s="49" t="s">
        <v>1245</v>
      </c>
    </row>
    <row r="6" spans="1:9" x14ac:dyDescent="0.25">
      <c r="A6" s="42"/>
      <c r="B6" s="52" t="s">
        <v>1232</v>
      </c>
      <c r="C6" s="52" t="s">
        <v>1233</v>
      </c>
      <c r="H6" s="49" t="s">
        <v>1246</v>
      </c>
      <c r="I6" s="49" t="s">
        <v>1247</v>
      </c>
    </row>
    <row r="7" spans="1:9" x14ac:dyDescent="0.25">
      <c r="A7" s="42"/>
      <c r="B7" s="52" t="s">
        <v>1234</v>
      </c>
      <c r="C7" s="52" t="s">
        <v>1235</v>
      </c>
      <c r="H7" s="49" t="s">
        <v>1248</v>
      </c>
      <c r="I7" s="49" t="s">
        <v>1249</v>
      </c>
    </row>
    <row r="8" spans="1:9" x14ac:dyDescent="0.25">
      <c r="B8" s="49" t="s">
        <v>1236</v>
      </c>
      <c r="C8" s="49" t="s">
        <v>1237</v>
      </c>
      <c r="H8" s="49" t="s">
        <v>1250</v>
      </c>
      <c r="I8" s="49" t="s">
        <v>1251</v>
      </c>
    </row>
  </sheetData>
  <conditionalFormatting sqref="C1:C6">
    <cfRule type="cellIs" dxfId="0" priority="1" operator="equal">
      <formula>"OK"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Nós</vt:lpstr>
      <vt:lpstr>Vértices</vt:lpstr>
      <vt:lpstr>Dados</vt:lpstr>
      <vt:lpstr>Pesos</vt:lpstr>
      <vt:lpstr>Nodos</vt:lpstr>
      <vt:lpstr>Planilha2</vt:lpstr>
      <vt:lpstr>TabelaNós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Mauricio Santos</dc:creator>
  <cp:lastModifiedBy>Natan Mauricio Santos</cp:lastModifiedBy>
  <dcterms:created xsi:type="dcterms:W3CDTF">2026-04-19T18:00:55Z</dcterms:created>
  <dcterms:modified xsi:type="dcterms:W3CDTF">2026-04-23T22:15:07Z</dcterms:modified>
</cp:coreProperties>
</file>